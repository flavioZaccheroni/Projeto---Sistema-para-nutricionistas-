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ebf46ff49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65dce82d741403e"/>
    <x:sheet xmlns:r="http://schemas.openxmlformats.org/officeDocument/2006/relationships" name="Inventario" sheetId="2" r:id="R9dcfb9429c0a4531"/>
    <x:sheet xmlns:r="http://schemas.openxmlformats.org/officeDocument/2006/relationships" name="Pendencias" sheetId="3" r:id="Rc9a404e41e584103"/>
    <x:sheet xmlns:r="http://schemas.openxmlformats.org/officeDocument/2006/relationships" name="Evidencias" sheetId="4" r:id="Re4d028e2a884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E6B75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4"/>
      <x:color rgb="FF167D73"/>
      <x:name val="Carlito"/>
    </x:font>
    <x:font>
      <x:sz val="11"/>
      <x:color rgb="FF23423D"/>
      <x:name val="Carlito"/>
    </x:font>
    <x:font>
      <x:i/>
      <x:sz val="11"/>
      <x:color rgb="FF6B5315"/>
      <x:name val="Carlito"/>
    </x:font>
    <x:font>
      <x:sz val="10"/>
      <x:color rgb="FF20313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8"/>
      </x:patternFill>
    </x:fill>
    <x:fill>
      <x:patternFill patternType="solid">
        <x:fgColor rgb="FF167D73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DDF3EF"/>
      </x:patternFill>
    </x:fill>
    <x:fill>
      <x:patternFill patternType="solid">
        <x:fgColor rgb="FFFFF3D6"/>
      </x:patternFill>
    </x:fill>
  </x:fills>
  <x:borders count="21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D5DDE3"/>
      </x:left>
      <x:top style="thin">
        <x:color rgb="FFD5DDE3"/>
      </x:top>
    </x:border>
    <x:border>
      <x:right style="thin">
        <x:color rgb="FFD5DDE3"/>
      </x:right>
      <x:top style="thin">
        <x:color rgb="FFD5DDE3"/>
      </x:top>
    </x:border>
    <x:border>
      <x:left style="thin">
        <x:color rgb="FFD5DDE3"/>
      </x:left>
    </x:border>
    <x:border>
      <x:right style="thin">
        <x:color rgb="FFD5DDE3"/>
      </x:right>
    </x:border>
    <x:border>
      <x:left style="thin">
        <x:color rgb="FFD5DDE3"/>
      </x:left>
      <x:bottom style="thin">
        <x:color rgb="FFD5DDE3"/>
      </x:bottom>
    </x:border>
    <x:border>
      <x:right style="thin">
        <x:color rgb="FFD5DDE3"/>
      </x:right>
      <x:bottom style="thin">
        <x:color rgb="FFD5DDE3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A9D7CF"/>
      </x:left>
      <x:top style="thin">
        <x:color rgb="FFA9D7CF"/>
      </x:top>
    </x:border>
    <x:border>
      <x:top style="thin">
        <x:color rgb="FFA9D7CF"/>
      </x:top>
    </x:border>
    <x:border>
      <x:right style="thin">
        <x:color rgb="FFA9D7CF"/>
      </x:right>
      <x:top style="thin">
        <x:color rgb="FFA9D7CF"/>
      </x:top>
    </x:border>
    <x:border>
      <x:left style="thin">
        <x:color rgb="FFA9D7CF"/>
      </x:left>
    </x:border>
    <x:border>
      <x:right style="thin">
        <x:color rgb="FFA9D7CF"/>
      </x:right>
    </x:border>
    <x:border>
      <x:left style="thin">
        <x:color rgb="FFA9D7CF"/>
      </x:left>
      <x:bottom style="thin">
        <x:color rgb="FFA9D7CF"/>
      </x:bottom>
    </x:border>
    <x:border>
      <x:bottom style="thin">
        <x:color rgb="FFA9D7CF"/>
      </x:bottom>
    </x:border>
    <x:border>
      <x:right style="thin">
        <x:color rgb="FFA9D7CF"/>
      </x:right>
      <x:bottom style="thin">
        <x:color rgb="FFA9D7CF"/>
      </x:bottom>
    </x:border>
    <x:border>
      <x:bottom style="thin">
        <x:color rgb="FFD5DDE3"/>
      </x:bottom>
    </x:border>
    <x:border>
      <x:top style="thin">
        <x:color rgb="FFD5DDE3"/>
      </x:top>
      <x:bottom style="thin">
        <x:color rgb="FFD5DDE3"/>
      </x:bottom>
    </x:border>
    <x:border>
      <x:top style="thin">
        <x:color rgb="FFD5DDE3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5" borderId="3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4" fillId="5" borderId="3" xfId="0" applyNumberFormat="1" applyFont="1" applyFill="1" applyBorder="1"/>
    <x:xf numFmtId="0" fontId="4" fillId="5" borderId="5" xfId="0" applyNumberFormat="1" applyFont="1" applyFill="1" applyBorder="1"/>
    <x:xf numFmtId="0" fontId="4" fillId="5" borderId="7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200" fontId="0" fillId="6" borderId="8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200" fontId="5" fillId="6" borderId="8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200" fontId="5" fillId="6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7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6" fillId="7" borderId="12" xfId="0" applyNumberFormat="1" applyFont="1" applyFill="1" applyBorder="1" applyAlignment="1">
      <x:alignment vertical="top" wrapText="1"/>
    </x:xf>
    <x:xf numFmtId="0" fontId="6" fillId="7" borderId="13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4" xfId="0" applyNumberFormat="1" applyFont="1" applyFill="1" applyBorder="1" applyAlignment="1">
      <x:alignment vertical="top" wrapText="1"/>
    </x:xf>
    <x:xf numFmtId="0" fontId="6" fillId="7" borderId="15" xfId="0" applyNumberFormat="1" applyFont="1" applyFill="1" applyBorder="1" applyAlignment="1">
      <x:alignment vertical="top" wrapText="1"/>
    </x:xf>
    <x:xf numFmtId="0" fontId="6" fillId="7" borderId="16" xfId="0" applyNumberFormat="1" applyFont="1" applyFill="1" applyBorder="1" applyAlignment="1">
      <x:alignment vertical="top" wrapText="1"/>
    </x:xf>
    <x:xf numFmtId="0" fontId="6" fillId="7" borderId="1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20" xfId="0" applyNumberFormat="1" applyFont="1" applyFill="1" applyBorder="1"/>
    <x:xf numFmtId="0" fontId="8" fillId="0" borderId="18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vertical="top" wrapText="1"/>
    </x:xf>
    <x:xf numFmtId="0" fontId="8" fillId="0" borderId="19" xfId="0" applyNumberFormat="1" applyFont="1" applyFill="1" applyBorder="1" applyAlignment="1">
      <x:alignment vertical="top" wrapText="1"/>
    </x:xf>
    <x:xf numFmtId="0" fontId="8" fillId="0" borderId="20" xfId="0" applyNumberFormat="1" applyFont="1" applyFill="1" applyBorder="1" applyAlignment="1">
      <x:alignment vertical="top" wrapText="1"/>
    </x:xf>
    <x:xf numFmtId="201" fontId="8" fillId="0" borderId="18" xfId="0" applyNumberFormat="1" applyFont="1" applyFill="1" applyBorder="1" applyAlignment="1">
      <x:alignment vertical="top" wrapText="1"/>
    </x:xf>
    <x:xf numFmtId="201" fontId="8" fillId="0" borderId="19" xfId="0" applyNumberFormat="1" applyFont="1" applyFill="1" applyBorder="1" applyAlignment="1">
      <x:alignment vertical="top" wrapText="1"/>
    </x:xf>
    <x:xf numFmtId="201" fontId="8" fillId="0" borderId="2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2E7D5A"/>
      </x:font>
      <x:fill>
        <x:patternFill patternType="solid">
          <x:bgColor rgb="FFE4F3EA"/>
        </x:patternFill>
      </x:fill>
    </x:dxf>
    <x:dxf>
      <x:font>
        <x:b/>
        <x:color rgb="FF7A5A0A"/>
      </x:font>
      <x:fill>
        <x:patternFill patternType="solid">
          <x:bgColor rgb="FFFFF3D6"/>
        </x:patternFill>
      </x:fill>
    </x:dxf>
    <x:dxf>
      <x:font>
        <x:b/>
        <x:color rgb="FFC74747"/>
      </x:font>
      <x:fill>
        <x:patternFill patternType="solid">
          <x:bgColor rgb="FFFCE8E8"/>
        </x:patternFill>
      </x:fill>
    </x:dxf>
    <x:dxf>
      <x:font>
        <x:b/>
        <x:color rgb="FFC74747"/>
      </x:font>
      <x:fill>
        <x:patternFill patternType="solid">
          <x:bgColor rgb="FFFCE8E8"/>
        </x:patternFill>
      </x:fill>
    </x:dxf>
    <x:dxf>
      <x:font>
        <x:b/>
        <x:color rgb="FF7A5A0A"/>
      </x:font>
      <x:fill>
        <x:patternFill patternType="solid">
          <x:bgColor rgb="FFFFF3D6"/>
        </x:patternFill>
      </x:fill>
    </x:dxf>
    <x:dxf>
      <x:font>
        <x:b/>
        <x:color rgb="FFC74747"/>
      </x:font>
      <x:fill>
        <x:patternFill patternType="solid">
          <x:bgColor rgb="FFFCE8E8"/>
        </x:patternFill>
      </x:fill>
    </x:dxf>
    <x:dxf>
      <x:font>
        <x:b/>
        <x:color rgb="FF7A5A0A"/>
      </x:font>
      <x:fill>
        <x:patternFill patternType="solid">
          <x:bgColor rgb="FFFFF3D6"/>
        </x:patternFill>
      </x:fill>
    </x:dxf>
    <x:dxf>
      <x:font>
        <x:color rgb="FF17324D"/>
      </x:font>
      <x:fill>
        <x:patternFill patternType="solid">
          <x:bgColor rgb="FFE8F0F8"/>
        </x:patternFill>
      </x:fill>
    </x:dxf>
    <x:dxf>
      <x:font>
        <x:b/>
        <x:color rgb="FF2E7D5A"/>
      </x:font>
      <x:fill>
        <x:patternFill patternType="solid">
          <x:bgColor rgb="FFE4F3EA"/>
        </x:patternFill>
      </x:fill>
    </x:dxf>
    <x:dxf>
      <x:font>
        <x:b/>
        <x:color rgb="FFC74747"/>
      </x:font>
      <x:fill>
        <x:patternFill patternType="solid">
          <x:bgColor rgb="FFFCE8E8"/>
        </x:patternFill>
      </x:fill>
    </x:dxf>
    <x:dxf>
      <x:font>
        <x:b/>
        <x:color rgb="FFC74747"/>
      </x:font>
      <x:fill>
        <x:patternFill patternType="solid">
          <x:bgColor rgb="FFFCE8E8"/>
        </x:patternFill>
      </x:fill>
    </x:dxf>
    <x:dxf>
      <x:font>
        <x:b/>
        <x:color rgb="FF7A5A0A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08111b0c24943" /><Relationship Type="http://schemas.openxmlformats.org/officeDocument/2006/relationships/theme" Target="/xl/theme/theme1.xml" Id="Ra0c60a34341649bd" /><Relationship Type="http://schemas.openxmlformats.org/officeDocument/2006/relationships/sharedStrings" Target="/xl/sharedStrings.xml" Id="R51ea6c234e1749d3" /><Relationship Type="http://schemas.openxmlformats.org/officeDocument/2006/relationships/worksheet" Target="/xl/worksheets/sheet1.xml" Id="Rf65dce82d741403e" /><Relationship Type="http://schemas.openxmlformats.org/officeDocument/2006/relationships/worksheet" Target="/xl/worksheets/sheet2.xml" Id="R9dcfb9429c0a4531" /><Relationship Type="http://schemas.openxmlformats.org/officeDocument/2006/relationships/worksheet" Target="/xl/worksheets/sheet3.xml" Id="Rc9a404e41e584103" /><Relationship Type="http://schemas.openxmlformats.org/officeDocument/2006/relationships/worksheet" Target="/xl/worksheets/sheet4.xml" Id="Re4d028e2a8844b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7c82a3c47c46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Situação dos itens auditados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'Resumo'!$A$14:$A$16</c:f>
              <c:strCache>
                <c:ptCount val="0"/>
              </c:strCache>
            </c:strRef>
          </c:cat>
          <c:val>
            <c:numRef>
              <c:f>'Resumo'!$B$14:$B$16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7c82a3c47c46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arioProjeto" displayName="InventarioProjeto" ref="A1:J35" headerRowCount="1" totalsRowCount="0" totalsRowShown="0">
  <x:tableColumns count="10">
    <x:tableColumn id="1" name="ID"/>
    <x:tableColumn id="2" name="Fase"/>
    <x:tableColumn id="3" name="Módulo/área"/>
    <x:tableColumn id="4" name="O que já foi feito"/>
    <x:tableColumn id="5" name="Evidência principal"/>
    <x:tableColumn id="6" name="Status"/>
    <x:tableColumn id="7" name="Testes relacionados"/>
    <x:tableColumn id="8" name="O que ainda falta"/>
    <x:tableColumn id="9" name="Prioridade"/>
    <x:tableColumn id="10" name="Grup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enciasProjeto" displayName="PendenciasProjeto" ref="A1:I16" headerRowCount="1" totalsRowCount="0" totalsRowShown="0">
  <x:tableColumns count="9">
    <x:tableColumn id="1" name="ID"/>
    <x:tableColumn id="2" name="Prioridade"/>
    <x:tableColumn id="3" name="Pendência"/>
    <x:tableColumn id="4" name="Impacto"/>
    <x:tableColumn id="5" name="Evidência"/>
    <x:tableColumn id="6" name="Critério de aceite"/>
    <x:tableColumn id="7" name="Esforço"/>
    <x:tableColumn id="8" name="Horizonte"/>
    <x:tableColumn id="9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iasProjeto" displayName="EvidenciasProjeto" ref="A1:E21" headerRowCount="1" totalsRowCount="0" totalsRowShown="0">
  <x:tableColumns count="5">
    <x:tableColumn id="1" name="Verificação"/>
    <x:tableColumn id="2" name="Resultado"/>
    <x:tableColumn id="3" name="Método/observação"/>
    <x:tableColumn id="4" name="Fonte local"/>
    <x:tableColumn id="5" name="Situ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fcc0c2c25c4d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c14a42b85142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253ddcbf3147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2fd3e082014c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3" t="str">
        <x:v>Auditoria do Projeto — Nutri Clinic Pro</x:v>
      </x:c>
      <x:c r="B1" s="3" t="str">
        <x:v>Auditoria do Projeto — Nutri Clinic Pro</x:v>
      </x:c>
      <x:c r="C1" s="3" t="str">
        <x:v>Auditoria do Projeto — Nutri Clinic Pro</x:v>
      </x:c>
      <x:c r="D1" s="3" t="str">
        <x:v>Auditoria do Projeto — Nutri Clinic Pro</x:v>
      </x:c>
      <x:c r="E1" s="3" t="str">
        <x:v>Auditoria do Projeto — Nutri Clinic Pro</x:v>
      </x:c>
      <x:c r="F1" s="3" t="str">
        <x:v>Auditoria do Projeto — Nutri Clinic Pro</x:v>
      </x:c>
      <x:c r="G1" s="3" t="str">
        <x:v>Auditoria do Projeto — Nutri Clinic Pro</x:v>
      </x:c>
      <x:c r="H1" s="3" t="str">
        <x:v>Auditoria do Projeto — Nutri Clinic Pro</x:v>
      </x:c>
      <x:c r="I1" s="3" t="str">
        <x:v>Auditoria do Projeto — Nutri Clinic Pro</x:v>
      </x:c>
      <x:c r="J1" s="3" t="str">
        <x:v>Auditoria do Projeto — Nutri Clinic Pro</x:v>
      </x:c>
    </x:row>
    <x:row r="2" ht="34" customHeight="1">
      <x:c r="A2" s="3" t="str">
        <x:v>Auditoria do Projeto — Nutri Clinic Pro</x:v>
      </x:c>
      <x:c r="B2" s="3" t="str">
        <x:v>Auditoria do Projeto — Nutri Clinic Pro</x:v>
      </x:c>
      <x:c r="C2" s="3" t="str">
        <x:v>Auditoria do Projeto — Nutri Clinic Pro</x:v>
      </x:c>
      <x:c r="D2" s="3" t="str">
        <x:v>Auditoria do Projeto — Nutri Clinic Pro</x:v>
      </x:c>
      <x:c r="E2" s="3" t="str">
        <x:v>Auditoria do Projeto — Nutri Clinic Pro</x:v>
      </x:c>
      <x:c r="F2" s="3" t="str">
        <x:v>Auditoria do Projeto — Nutri Clinic Pro</x:v>
      </x:c>
      <x:c r="G2" s="3" t="str">
        <x:v>Auditoria do Projeto — Nutri Clinic Pro</x:v>
      </x:c>
      <x:c r="H2" s="3" t="str">
        <x:v>Auditoria do Projeto — Nutri Clinic Pro</x:v>
      </x:c>
      <x:c r="I2" s="3" t="str">
        <x:v>Auditoria do Projeto — Nutri Clinic Pro</x:v>
      </x:c>
      <x:c r="J2" s="3" t="str">
        <x:v>Auditoria do Projeto — Nutri Clinic Pro</x:v>
      </x:c>
    </x:row>
    <x:row r="3">
      <x:c r="A3" s="6" t="str">
        <x:v>Diagnóstico técnico em 15/08/2026 | escopo: código, documentação, banco, testes, build e execução local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 ht="30" customHeight="1">
      <x:c r="A5" s="13" t="str">
        <x:v>Indicador</x:v>
      </x:c>
      <x:c r="B5" s="14" t="str">
        <x:v>Valor</x:v>
      </x:c>
      <x:c r="D5" s="13" t="str">
        <x:v>Conclusão executiva</x:v>
      </x:c>
      <x:c r="E5" s="39"/>
      <x:c r="F5" s="39"/>
      <x:c r="G5" s="14"/>
    </x:row>
    <x:row r="6" ht="27" customHeight="1">
      <x:c r="A6" s="25" t="str">
        <x:v>Itens auditados</x:v>
      </x:c>
      <x:c r="B6" s="34" t="n">
        <x:f>COUNTA('Inventario'!$A$2:$A$100)</x:f>
        <x:v>34</x:v>
      </x:c>
      <x:c r="D6" s="59" t="str">
        <x:v>O MVP desktop possui um núcleo funcional amplo: cadastro clínico, agenda, avaliações, planos, relatórios, financeiro, permissões, auditoria e persistência SQLite. A suíte automatizada passa integralmente e há executável Windows. Ainda não deve ser tratado como produto comercial plenamente validado: o ambiente virtual está quebrado, faltam validação clínica/formal e testes de UI, e os módulos de app do paciente, portal, IA e integrações são fundações locais — não serviços externos completos.</x:v>
      </x:c>
      <x:c r="E6" s="60"/>
      <x:c r="F6" s="60"/>
      <x:c r="G6" s="61"/>
    </x:row>
    <x:row r="7" ht="27" customHeight="1">
      <x:c r="A7" s="26" t="str">
        <x:v>Concluídos</x:v>
      </x:c>
      <x:c r="B7" s="35" t="n">
        <x:f>COUNTIF('Inventario'!$F$2:$F$100,"Concluído")</x:f>
        <x:v>18</x:v>
      </x:c>
      <x:c r="D7" s="62"/>
      <x:c r="E7" s="63"/>
      <x:c r="F7" s="63"/>
      <x:c r="G7" s="64"/>
    </x:row>
    <x:row r="8" ht="27" customHeight="1">
      <x:c r="A8" s="26" t="str">
        <x:v>Parciais</x:v>
      </x:c>
      <x:c r="B8" s="35" t="n">
        <x:f>COUNTIF('Inventario'!$F$2:$F$100,"Parcial")</x:f>
        <x:v>15</x:v>
      </x:c>
      <x:c r="D8" s="62"/>
      <x:c r="E8" s="63"/>
      <x:c r="F8" s="63"/>
      <x:c r="G8" s="64"/>
    </x:row>
    <x:row r="9" ht="27" customHeight="1">
      <x:c r="A9" s="26" t="str">
        <x:v>Pendentes</x:v>
      </x:c>
      <x:c r="B9" s="35" t="n">
        <x:f>COUNTIF('Inventario'!$F$2:$F$100,"Pendente")</x:f>
        <x:v>1</x:v>
      </x:c>
      <x:c r="D9" s="62"/>
      <x:c r="E9" s="63"/>
      <x:c r="F9" s="63"/>
      <x:c r="G9" s="64"/>
    </x:row>
    <x:row r="10" ht="27" customHeight="1">
      <x:c r="A10" s="27" t="str">
        <x:v>Progresso ponderado</x:v>
      </x:c>
      <x:c r="B10" s="36" t="n">
        <x:f>(B7+B8*0.5)/B6</x:f>
        <x:v>0.75</x:v>
      </x:c>
      <x:c r="D10" s="65"/>
      <x:c r="E10" s="66"/>
      <x:c r="F10" s="66"/>
      <x:c r="G10" s="67"/>
    </x:row>
    <x:row r="13" ht="30" customHeight="1">
      <x:c r="A13" s="13" t="str">
        <x:v>Status</x:v>
      </x:c>
      <x:c r="B13" s="14" t="str">
        <x:v>Quantidade</x:v>
      </x:c>
    </x:row>
    <x:row r="14">
      <x:c r="A14" s="16" t="str">
        <x:v>Concluído</x:v>
      </x:c>
      <x:c r="B14" s="17" t="n">
        <x:f>B7</x:f>
        <x:v>18</x:v>
      </x:c>
    </x:row>
    <x:row r="15">
      <x:c r="A15" s="18" t="str">
        <x:v>Parcial</x:v>
      </x:c>
      <x:c r="B15" s="19" t="n">
        <x:f>B8</x:f>
        <x:v>15</x:v>
      </x:c>
    </x:row>
    <x:row r="16">
      <x:c r="A16" s="20" t="str">
        <x:v>Pendente</x:v>
      </x:c>
      <x:c r="B16" s="68" t="n">
        <x:f>B9</x:f>
        <x:v>1</x:v>
      </x:c>
    </x:row>
    <x:row r="19" ht="30" customHeight="1">
      <x:c r="A19" s="13" t="str">
        <x:v>Prioridade</x:v>
      </x:c>
      <x:c r="B19" s="14" t="str">
        <x:v>Pendências</x:v>
      </x:c>
    </x:row>
    <x:row r="20">
      <x:c r="A20" s="16" t="str">
        <x:v>P0 — antes de produção</x:v>
      </x:c>
      <x:c r="B20" s="17" t="n">
        <x:f>COUNTIF('Pendencias'!$B$2:$B$100,"P0")</x:f>
        <x:v>6</x:v>
      </x:c>
    </x:row>
    <x:row r="21">
      <x:c r="A21" s="18" t="str">
        <x:v>P1 — próximo ciclo/roadmap</x:v>
      </x:c>
      <x:c r="B21" s="19" t="n">
        <x:f>COUNTIF('Pendencias'!$B$2:$B$100,"P1")</x:f>
        <x:v>8</x:v>
      </x:c>
    </x:row>
    <x:row r="22">
      <x:c r="A22" s="20" t="str">
        <x:v>P2 — melhoria</x:v>
      </x:c>
      <x:c r="B22" s="68" t="n">
        <x:f>COUNTIF('Pendencias'!$B$2:$B$100,"P2")</x:f>
        <x:v>1</x:v>
      </x:c>
    </x:row>
    <x:row r="29">
      <x:c r="A29" s="72" t="str">
        <x:v>Leitura dos status: “Concluído” = implementado no escopo declarado; “Parcial” = existe base funcional, mas falta entrega ou validação essencial; “Pendente” = não implementado.</x:v>
      </x:c>
      <x:c r="B29" s="72"/>
      <x:c r="C29" s="72"/>
      <x:c r="D29" s="72"/>
      <x:c r="E29" s="72"/>
      <x:c r="F29" s="72"/>
      <x:c r="G29" s="72"/>
      <x:c r="H29" s="72"/>
      <x:c r="I29" s="72"/>
      <x:c r="J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</x:row>
  </x:sheetData>
  <x:mergeCells>
    <x:mergeCell ref="A1:J2"/>
    <x:mergeCell ref="A3:J3"/>
    <x:mergeCell ref="D5:G5"/>
    <x:mergeCell ref="D6:G10"/>
    <x:mergeCell ref="A29:J30"/>
  </x:mergeCells>
  <x:pageMargins left="0.7" right="0.7" top="0.75" bottom="0.75" header="0.3" footer="0.3"/>
  <x:drawing xmlns:r="http://schemas.openxmlformats.org/officeDocument/2006/relationships" r:id="R96fcc0c2c25c4d6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25" hidden="0" customWidth="1"/>
    <x:col min="4" max="4" width="52" hidden="0" customWidth="1"/>
    <x:col min="5" max="5" width="43" hidden="0" customWidth="1"/>
    <x:col min="6" max="6" width="15" hidden="0" customWidth="1"/>
    <x:col min="7" max="7" width="16" hidden="0" customWidth="1"/>
    <x:col min="8" max="8" width="57" hidden="0" customWidth="1"/>
    <x:col min="9" max="9" width="12" hidden="0" customWidth="1"/>
    <x:col min="10" max="10" width="19" hidden="0" customWidth="1"/>
  </x:cols>
  <x:sheetData>
    <x:row r="1" ht="30" customHeight="1">
      <x:c r="A1" s="13" t="str">
        <x:v>ID</x:v>
      </x:c>
      <x:c r="B1" s="39" t="str">
        <x:v>Fase</x:v>
      </x:c>
      <x:c r="C1" s="39" t="str">
        <x:v>Módulo/área</x:v>
      </x:c>
      <x:c r="D1" s="39" t="str">
        <x:v>O que já foi feito</x:v>
      </x:c>
      <x:c r="E1" s="39" t="str">
        <x:v>Evidência principal</x:v>
      </x:c>
      <x:c r="F1" s="39" t="str">
        <x:v>Status</x:v>
      </x:c>
      <x:c r="G1" s="39" t="str">
        <x:v>Testes relacionados</x:v>
      </x:c>
      <x:c r="H1" s="39" t="str">
        <x:v>O que ainda falta</x:v>
      </x:c>
      <x:c r="I1" s="39" t="str">
        <x:v>Prioridade</x:v>
      </x:c>
      <x:c r="J1" s="14" t="str">
        <x:v>Grupo</x:v>
      </x:c>
    </x:row>
    <x:row r="2" ht="63" customHeight="1">
      <x:c r="A2" s="80" t="str">
        <x:v>F01</x:v>
      </x:c>
      <x:c r="B2" s="83" t="n">
        <x:v>1</x:v>
      </x:c>
      <x:c r="C2" s="80" t="str">
        <x:v>Ambiente e setup</x:v>
      </x:c>
      <x:c r="D2" s="80" t="str">
        <x:v>Estrutura Python, requisitos, scripts e documentação de execução existem.</x:v>
      </x:c>
      <x:c r="E2" s="80" t="str">
        <x:v>pyproject.toml; requirements*.txt; run_app.py</x:v>
      </x:c>
      <x:c r="F2" s="80" t="str">
        <x:v>Parcial</x:v>
      </x:c>
      <x:c r="G2" s="83" t="n">
        <x:v>0</x:v>
      </x:c>
      <x:c r="H2" s="80" t="str">
        <x:v>A .venv atual aponta para C:\Users\Flavi e não executa; recriar ambiente de forma reproduzível.</x:v>
      </x:c>
      <x:c r="I2" s="80" t="str">
        <x:v>P0</x:v>
      </x:c>
      <x:c r="J2" s="80" t="str">
        <x:v>Base</x:v>
      </x:c>
    </x:row>
    <x:row r="3" ht="63" customHeight="1">
      <x:c r="A3" s="81" t="str">
        <x:v>F02</x:v>
      </x:c>
      <x:c r="B3" s="84" t="n">
        <x:v>2</x:v>
      </x:c>
      <x:c r="C3" s="81" t="str">
        <x:v>Arquitetura base</x:v>
      </x:c>
      <x:c r="D3" s="81" t="str">
        <x:v>Camadas app, UI, domínio, serviços, repositórios e SQLite estão separadas.</x:v>
      </x:c>
      <x:c r="E3" s="81" t="str">
        <x:v>src/nutri_app; database/schema.sql; docs/arquitetura_inicial.md</x:v>
      </x:c>
      <x:c r="F3" s="81" t="str">
        <x:v>Concluído</x:v>
      </x:c>
      <x:c r="G3" s="84" t="n">
        <x:v>1</x:v>
      </x:c>
      <x:c r="H3" s="81" t="str">
        <x:v>Documentar decisões arquiteturais atuais e plano de evolução para API/PostgreSQL.</x:v>
      </x:c>
      <x:c r="I3" s="81" t="str">
        <x:v>P2</x:v>
      </x:c>
      <x:c r="J3" s="81" t="str">
        <x:v>Base</x:v>
      </x:c>
    </x:row>
    <x:row r="4" ht="63" customHeight="1">
      <x:c r="A4" s="81" t="str">
        <x:v>F03</x:v>
      </x:c>
      <x:c r="B4" s="84" t="n">
        <x:v>3</x:v>
      </x:c>
      <x:c r="C4" s="81" t="str">
        <x:v>Login e permissões</x:v>
      </x:c>
      <x:c r="D4" s="81" t="str">
        <x:v>Login, hash de senha, perfis, permissões por módulo e auditoria estão implementados.</x:v>
      </x:c>
      <x:c r="E4" s="81" t="str">
        <x:v>services/auth.py; user_repository.py; audit_repository.py; test_auth.py</x:v>
      </x:c>
      <x:c r="F4" s="81" t="str">
        <x:v>Concluído</x:v>
      </x:c>
      <x:c r="G4" s="84" t="n">
        <x:v>2</x:v>
      </x:c>
      <x:c r="H4" s="81" t="str">
        <x:v>Obrigar troca da senha padrão no primeiro acesso e revisar políticas de sessão/senha.</x:v>
      </x:c>
      <x:c r="I4" s="81" t="str">
        <x:v>P0</x:v>
      </x:c>
      <x:c r="J4" s="81" t="str">
        <x:v>Segurança</x:v>
      </x:c>
    </x:row>
    <x:row r="5" ht="63" customHeight="1">
      <x:c r="A5" s="81" t="str">
        <x:v>F04</x:v>
      </x:c>
      <x:c r="B5" s="84" t="n">
        <x:v>4</x:v>
      </x:c>
      <x:c r="C5" s="81" t="str">
        <x:v>Dashboard</x:v>
      </x:c>
      <x:c r="D5" s="81" t="str">
        <x:v>Indicadores e alertas são montados a partir de dados reais do banco.</x:v>
      </x:c>
      <x:c r="E5" s="81" t="str">
        <x:v>dashboard_page.py; dashboard_repository.py; test_dashboard_repository.py</x:v>
      </x:c>
      <x:c r="F5" s="81" t="str">
        <x:v>Concluído</x:v>
      </x:c>
      <x:c r="G5" s="84" t="n">
        <x:v>1</x:v>
      </x:c>
      <x:c r="H5" s="81" t="str">
        <x:v>Adicionar evolução gráfica longitudinal, ainda aberta no backlog.</x:v>
      </x:c>
      <x:c r="I5" s="81" t="str">
        <x:v>P1</x:v>
      </x:c>
      <x:c r="J5" s="81" t="str">
        <x:v>Gestão</x:v>
      </x:c>
    </x:row>
    <x:row r="6" ht="63" customHeight="1">
      <x:c r="A6" s="81" t="str">
        <x:v>F05</x:v>
      </x:c>
      <x:c r="B6" s="84" t="n">
        <x:v>5</x:v>
      </x:c>
      <x:c r="C6" s="81" t="str">
        <x:v>Pacientes</x:v>
      </x:c>
      <x:c r="D6" s="81" t="str">
        <x:v>Cadastro, pesquisa, atualização e exclusão lógica com campos clínicos e pessoais.</x:v>
      </x:c>
      <x:c r="E6" s="81" t="str">
        <x:v>patients_page.py; patient_repository.py; test_patient_repository.py</x:v>
      </x:c>
      <x:c r="F6" s="81" t="str">
        <x:v>Concluído</x:v>
      </x:c>
      <x:c r="G6" s="84" t="n">
        <x:v>2</x:v>
      </x:c>
      <x:c r="H6" s="81" t="str">
        <x:v>Completar validações de LGPD, consentimento, retenção e exportação de dados.</x:v>
      </x:c>
      <x:c r="I6" s="81" t="str">
        <x:v>P0</x:v>
      </x:c>
      <x:c r="J6" s="81" t="str">
        <x:v>Clínico</x:v>
      </x:c>
    </x:row>
    <x:row r="7" ht="63" customHeight="1">
      <x:c r="A7" s="81" t="str">
        <x:v>F06</x:v>
      </x:c>
      <x:c r="B7" s="84" t="n">
        <x:v>6</x:v>
      </x:c>
      <x:c r="C7" s="81" t="str">
        <x:v>Agenda</x:v>
      </x:c>
      <x:c r="D7" s="81" t="str">
        <x:v>CRUD de consultas, filtros e atualização de status disponíveis na interface.</x:v>
      </x:c>
      <x:c r="E7" s="81" t="str">
        <x:v>appointments_page.py; appointment_repository.py; test_appointment_repository.py</x:v>
      </x:c>
      <x:c r="F7" s="81" t="str">
        <x:v>Concluído</x:v>
      </x:c>
      <x:c r="G7" s="84" t="n">
        <x:v>1</x:v>
      </x:c>
      <x:c r="H7" s="81" t="str">
        <x:v>Adicionar lembretes, recorrência e sincronização com calendários externos, se fizer parte do produto.</x:v>
      </x:c>
      <x:c r="I7" s="81" t="str">
        <x:v>P2</x:v>
      </x:c>
      <x:c r="J7" s="81" t="str">
        <x:v>Operação</x:v>
      </x:c>
    </x:row>
    <x:row r="8" ht="63" customHeight="1">
      <x:c r="A8" s="81" t="str">
        <x:v>F07</x:v>
      </x:c>
      <x:c r="B8" s="84" t="n">
        <x:v>7</x:v>
      </x:c>
      <x:c r="C8" s="81" t="str">
        <x:v>Anamnese</x:v>
      </x:c>
      <x:c r="D8" s="81" t="str">
        <x:v>Formulário estruturado, persistência, pesquisa, edição e exclusão implementados.</x:v>
      </x:c>
      <x:c r="E8" s="81" t="str">
        <x:v>anamnesis_page.py; anamnesis_repository.py; test_anamnesis_repository.py</x:v>
      </x:c>
      <x:c r="F8" s="81" t="str">
        <x:v>Concluído</x:v>
      </x:c>
      <x:c r="G8" s="84" t="n">
        <x:v>1</x:v>
      </x:c>
      <x:c r="H8" s="81" t="str">
        <x:v>Ampliar testes de validação e fluxos completos da interface.</x:v>
      </x:c>
      <x:c r="I8" s="81" t="str">
        <x:v>P1</x:v>
      </x:c>
      <x:c r="J8" s="81" t="str">
        <x:v>Clínico</x:v>
      </x:c>
    </x:row>
    <x:row r="9" ht="63" customHeight="1">
      <x:c r="A9" s="81" t="str">
        <x:v>F08</x:v>
      </x:c>
      <x:c r="B9" s="84" t="n">
        <x:v>8</x:v>
      </x:c>
      <x:c r="C9" s="81" t="str">
        <x:v>Triagem nutricional</x:v>
      </x:c>
      <x:c r="D9" s="81" t="str">
        <x:v>Protocolos principais, pontuação, classificação e histórico persistente.</x:v>
      </x:c>
      <x:c r="E9" s="81" t="str">
        <x:v>screening_page.py; screening.py; screening_repository.py; test_screening.py</x:v>
      </x:c>
      <x:c r="F9" s="81" t="str">
        <x:v>Concluído</x:v>
      </x:c>
      <x:c r="G9" s="84" t="n">
        <x:v>3</x:v>
      </x:c>
      <x:c r="H9" s="81" t="str">
        <x:v>Validar protocolos e versões de referência com responsável clínico.</x:v>
      </x:c>
      <x:c r="I9" s="81" t="str">
        <x:v>P0</x:v>
      </x:c>
      <x:c r="J9" s="81" t="str">
        <x:v>Clínico</x:v>
      </x:c>
    </x:row>
    <x:row r="10" ht="63" customHeight="1">
      <x:c r="A10" s="81" t="str">
        <x:v>F09</x:v>
      </x:c>
      <x:c r="B10" s="84" t="n">
        <x:v>9</x:v>
      </x:c>
      <x:c r="C10" s="81" t="str">
        <x:v>Antropometria</x:v>
      </x:c>
      <x:c r="D10" s="81" t="str">
        <x:v>CRUD, IMC, RCQ, RCEst e risco por perda de peso estão implementados.</x:v>
      </x:c>
      <x:c r="E10" s="81" t="str">
        <x:v>anthropometry_page.py; services/anthropometry.py; tests/test_anthropometry*.py</x:v>
      </x:c>
      <x:c r="F10" s="81" t="str">
        <x:v>Concluído</x:v>
      </x:c>
      <x:c r="G10" s="84" t="n">
        <x:v>5</x:v>
      </x:c>
      <x:c r="H10" s="81" t="str">
        <x:v>Adicionar séries temporais e testes de limites clínicos/idades especiais.</x:v>
      </x:c>
      <x:c r="I10" s="81" t="str">
        <x:v>P1</x:v>
      </x:c>
      <x:c r="J10" s="81" t="str">
        <x:v>Clínico</x:v>
      </x:c>
    </x:row>
    <x:row r="11" ht="63" customHeight="1">
      <x:c r="A11" s="81" t="str">
        <x:v>F10</x:v>
      </x:c>
      <x:c r="B11" s="84" t="n">
        <x:v>10</x:v>
      </x:c>
      <x:c r="C11" s="81" t="str">
        <x:v>Composição corporal</x:v>
      </x:c>
      <x:c r="D11" s="81" t="str">
        <x:v>Cálculos de massa gorda/magra, validações e persistência disponíveis.</x:v>
      </x:c>
      <x:c r="E11" s="81" t="str">
        <x:v>body_composition_page.py; body_composition.py; test_body_composition.py</x:v>
      </x:c>
      <x:c r="F11" s="81" t="str">
        <x:v>Concluído</x:v>
      </x:c>
      <x:c r="G11" s="84" t="n">
        <x:v>3</x:v>
      </x:c>
      <x:c r="H11" s="81" t="str">
        <x:v>Validar equações por método/equipamento e representar evolução em gráfico.</x:v>
      </x:c>
      <x:c r="I11" s="81" t="str">
        <x:v>P0</x:v>
      </x:c>
      <x:c r="J11" s="81" t="str">
        <x:v>Clínico</x:v>
      </x:c>
    </x:row>
    <x:row r="12" ht="63" customHeight="1">
      <x:c r="A12" s="81" t="str">
        <x:v>F11</x:v>
      </x:c>
      <x:c r="B12" s="84" t="n">
        <x:v>11</x:v>
      </x:c>
      <x:c r="C12" s="81" t="str">
        <x:v>Gasto energético</x:v>
      </x:c>
      <x:c r="D12" s="81" t="str">
        <x:v>Mifflin, Cunningham, GET e distribuição de macros implementados.</x:v>
      </x:c>
      <x:c r="E12" s="81" t="str">
        <x:v>energy_expenditure_page.py; energy_expenditure.py; test_energy_expenditure.py</x:v>
      </x:c>
      <x:c r="F12" s="81" t="str">
        <x:v>Concluído</x:v>
      </x:c>
      <x:c r="G12" s="84" t="n">
        <x:v>3</x:v>
      </x:c>
      <x:c r="H12" s="81" t="str">
        <x:v>Documentar fontes/equações na UI e cobrir perfis especiais.</x:v>
      </x:c>
      <x:c r="I12" s="81" t="str">
        <x:v>P0</x:v>
      </x:c>
      <x:c r="J12" s="81" t="str">
        <x:v>Clínico</x:v>
      </x:c>
    </x:row>
    <x:row r="13" ht="63" customHeight="1">
      <x:c r="A13" s="81" t="str">
        <x:v>F12</x:v>
      </x:c>
      <x:c r="B13" s="84" t="n">
        <x:v>12</x:v>
      </x:c>
      <x:c r="C13" s="81" t="str">
        <x:v>Exames laboratoriais</x:v>
      </x:c>
      <x:c r="D13" s="81" t="str">
        <x:v>CRUD de exames/itens, referências e alertas integrados ao dashboard.</x:v>
      </x:c>
      <x:c r="E13" s="81" t="str">
        <x:v>laboratory_exams_page.py; laboratory_exam*.py; test_laboratory_exam.py</x:v>
      </x:c>
      <x:c r="F13" s="81" t="str">
        <x:v>Concluído</x:v>
      </x:c>
      <x:c r="G13" s="84" t="n">
        <x:v>3</x:v>
      </x:c>
      <x:c r="H13" s="81" t="str">
        <x:v>Versionar referências por sexo, idade, laboratório e condição clínica.</x:v>
      </x:c>
      <x:c r="I13" s="81" t="str">
        <x:v>P0</x:v>
      </x:c>
      <x:c r="J13" s="81" t="str">
        <x:v>Clínico</x:v>
      </x:c>
    </x:row>
    <x:row r="14" ht="63" customHeight="1">
      <x:c r="A14" s="81" t="str">
        <x:v>F13</x:v>
      </x:c>
      <x:c r="B14" s="84" t="n">
        <x:v>13</x:v>
      </x:c>
      <x:c r="C14" s="81" t="str">
        <x:v>Diagnóstico nutricional</x:v>
      </x:c>
      <x:c r="D14" s="81" t="str">
        <x:v>GLIM, fragilidade e registros de critérios/conduta estão implementados.</x:v>
      </x:c>
      <x:c r="E14" s="81" t="str">
        <x:v>nutrition_diagnosis_page.py; nutrition_diagnosis.py; test_nutrition_diagnosis.py</x:v>
      </x:c>
      <x:c r="F14" s="81" t="str">
        <x:v>Concluído</x:v>
      </x:c>
      <x:c r="G14" s="84" t="n">
        <x:v>3</x:v>
      </x:c>
      <x:c r="H14" s="81" t="str">
        <x:v>Validar regras clínicas, terminologia e rastreabilidade das fontes.</x:v>
      </x:c>
      <x:c r="I14" s="81" t="str">
        <x:v>P0</x:v>
      </x:c>
      <x:c r="J14" s="81" t="str">
        <x:v>Clínico</x:v>
      </x:c>
    </x:row>
    <x:row r="15" ht="63" customHeight="1">
      <x:c r="A15" s="81" t="str">
        <x:v>F14</x:v>
      </x:c>
      <x:c r="B15" s="84" t="n">
        <x:v>14</x:v>
      </x:c>
      <x:c r="C15" s="81" t="str">
        <x:v>Plano alimentar</x:v>
      </x:c>
      <x:c r="D15" s="81" t="str">
        <x:v>Refeições, cálculo de totais, CRUD e lista de compras estão disponíveis.</x:v>
      </x:c>
      <x:c r="E15" s="81" t="str">
        <x:v>meal_plan_page.py; meal_plan*.py; test_meal_plan.py</x:v>
      </x:c>
      <x:c r="F15" s="81" t="str">
        <x:v>Concluído</x:v>
      </x:c>
      <x:c r="G15" s="84" t="n">
        <x:v>3</x:v>
      </x:c>
      <x:c r="H15" s="81" t="str">
        <x:v>Evoluir para metas por refeição, substituições quantitativas e checagem de micronutrientes.</x:v>
      </x:c>
      <x:c r="I15" s="81" t="str">
        <x:v>P1</x:v>
      </x:c>
      <x:c r="J15" s="81" t="str">
        <x:v>Clínico</x:v>
      </x:c>
    </x:row>
    <x:row r="16" ht="63" customHeight="1">
      <x:c r="A16" s="81" t="str">
        <x:v>F15</x:v>
      </x:c>
      <x:c r="B16" s="84" t="n">
        <x:v>15</x:v>
      </x:c>
      <x:c r="C16" s="81" t="str">
        <x:v>Banco de alimentos</x:v>
      </x:c>
      <x:c r="D16" s="81" t="str">
        <x:v>Cadastro, pesquisa, porções e cálculo proporcional de nutrientes.</x:v>
      </x:c>
      <x:c r="E16" s="81" t="str">
        <x:v>food_database_page.py; food*.py; test_food_database.py</x:v>
      </x:c>
      <x:c r="F16" s="81" t="str">
        <x:v>Concluído</x:v>
      </x:c>
      <x:c r="G16" s="84" t="n">
        <x:v>3</x:v>
      </x:c>
      <x:c r="H16" s="81" t="str">
        <x:v>Importar/versionar base oficial ampla e tratar atualização/conflitos de dados.</x:v>
      </x:c>
      <x:c r="I16" s="81" t="str">
        <x:v>P1</x:v>
      </x:c>
      <x:c r="J16" s="81" t="str">
        <x:v>Dados</x:v>
      </x:c>
    </x:row>
    <x:row r="17" ht="63" customHeight="1">
      <x:c r="A17" s="81" t="str">
        <x:v>F16</x:v>
      </x:c>
      <x:c r="B17" s="84" t="n">
        <x:v>16</x:v>
      </x:c>
      <x:c r="C17" s="81" t="str">
        <x:v>Receitas</x:v>
      </x:c>
      <x:c r="D17" s="81" t="str">
        <x:v>Ingredientes, porções, cálculo por porção/100 g e CRUD implementados.</x:v>
      </x:c>
      <x:c r="E17" s="81" t="str">
        <x:v>recipes_page.py; recipe*.py; test_recipes.py</x:v>
      </x:c>
      <x:c r="F17" s="81" t="str">
        <x:v>Concluído</x:v>
      </x:c>
      <x:c r="G17" s="84" t="n">
        <x:v>3</x:v>
      </x:c>
      <x:c r="H17" s="81" t="str">
        <x:v>Integrar micronutrientes, alergênicos e ficha técnica/impressão profissional.</x:v>
      </x:c>
      <x:c r="I17" s="81" t="str">
        <x:v>P2</x:v>
      </x:c>
      <x:c r="J17" s="81" t="str">
        <x:v>Clínico</x:v>
      </x:c>
    </x:row>
    <x:row r="18" ht="63" customHeight="1">
      <x:c r="A18" s="81" t="str">
        <x:v>F17</x:v>
      </x:c>
      <x:c r="B18" s="84" t="n">
        <x:v>17</x:v>
      </x:c>
      <x:c r="C18" s="81" t="str">
        <x:v>Suplementos</x:v>
      </x:c>
      <x:c r="D18" s="81" t="str">
        <x:v>Cadastro, tipos, fabricantes e cálculo de dose proporcional implementados.</x:v>
      </x:c>
      <x:c r="E18" s="81" t="str">
        <x:v>supplements_page.py; supplement*.py; test_supplements.py</x:v>
      </x:c>
      <x:c r="F18" s="81" t="str">
        <x:v>Concluído</x:v>
      </x:c>
      <x:c r="G18" s="84" t="n">
        <x:v>3</x:v>
      </x:c>
      <x:c r="H18" s="81" t="str">
        <x:v>Adicionar interações, limites seguros, alertas e fontes regulatórias versionadas.</x:v>
      </x:c>
      <x:c r="I18" s="81" t="str">
        <x:v>P0</x:v>
      </x:c>
      <x:c r="J18" s="81" t="str">
        <x:v>Clínico</x:v>
      </x:c>
    </x:row>
    <x:row r="19" ht="63" customHeight="1">
      <x:c r="A19" s="81" t="str">
        <x:v>F18</x:v>
      </x:c>
      <x:c r="B19" s="84" t="n">
        <x:v>18</x:v>
      </x:c>
      <x:c r="C19" s="81" t="str">
        <x:v>Relatórios</x:v>
      </x:c>
      <x:c r="D19" s="81" t="str">
        <x:v>Relatório clínico é gerado com contexto do paciente e exportado em TXT.</x:v>
      </x:c>
      <x:c r="E19" s="81" t="str">
        <x:v>reports_page.py; report.py; test_reports.py</x:v>
      </x:c>
      <x:c r="F19" s="81" t="str">
        <x:v>Concluído</x:v>
      </x:c>
      <x:c r="G19" s="84" t="n">
        <x:v>3</x:v>
      </x:c>
      <x:c r="H19" s="81" t="str">
        <x:v>Gerar PDF/ impressão com identidade, assinatura, paginação e modelos configuráveis.</x:v>
      </x:c>
      <x:c r="I19" s="81" t="str">
        <x:v>P1</x:v>
      </x:c>
      <x:c r="J19" s="81" t="str">
        <x:v>Operação</x:v>
      </x:c>
    </x:row>
    <x:row r="20" ht="63" customHeight="1">
      <x:c r="A20" s="81" t="str">
        <x:v>F19</x:v>
      </x:c>
      <x:c r="B20" s="84" t="n">
        <x:v>19</x:v>
      </x:c>
      <x:c r="C20" s="81" t="str">
        <x:v>Financeiro</x:v>
      </x:c>
      <x:c r="D20" s="81" t="str">
        <x:v>Receitas/despesas, status, vencimentos, inadimplência e resumo persistidos.</x:v>
      </x:c>
      <x:c r="E20" s="81" t="str">
        <x:v>finance_page.py; finance*.py; test_finance.py</x:v>
      </x:c>
      <x:c r="F20" s="81" t="str">
        <x:v>Concluído</x:v>
      </x:c>
      <x:c r="G20" s="84" t="n">
        <x:v>3</x:v>
      </x:c>
      <x:c r="H20" s="81" t="str">
        <x:v>Adicionar conciliação, categorias/competência, exportações e integrações reais.</x:v>
      </x:c>
      <x:c r="I20" s="81" t="str">
        <x:v>P1</x:v>
      </x:c>
      <x:c r="J20" s="81" t="str">
        <x:v>Gestão</x:v>
      </x:c>
    </x:row>
    <x:row r="21" ht="63" customHeight="1">
      <x:c r="A21" s="81" t="str">
        <x:v>F20</x:v>
      </x:c>
      <x:c r="B21" s="84" t="n">
        <x:v>20</x:v>
      </x:c>
      <x:c r="C21" s="81" t="str">
        <x:v>Backup e segurança</x:v>
      </x:c>
      <x:c r="D21" s="81" t="str">
        <x:v>Backup SQLite com checksum, verificações e checklist de segurança existem.</x:v>
      </x:c>
      <x:c r="E21" s="81" t="str">
        <x:v>settings_page.py; backup.py; security.py; test_backup_security.py</x:v>
      </x:c>
      <x:c r="F21" s="81" t="str">
        <x:v>Parcial</x:v>
      </x:c>
      <x:c r="G21" s="84" t="n">
        <x:v>4</x:v>
      </x:c>
      <x:c r="H21" s="81" t="str">
        <x:v>Automatizar agenda, cópia externa criptografada, retenção e teste periódico de restauração.</x:v>
      </x:c>
      <x:c r="I21" s="81" t="str">
        <x:v>P0</x:v>
      </x:c>
      <x:c r="J21" s="81" t="str">
        <x:v>Segurança</x:v>
      </x:c>
    </x:row>
    <x:row r="22" ht="63" customHeight="1">
      <x:c r="A22" s="81" t="str">
        <x:v>F21</x:v>
      </x:c>
      <x:c r="B22" s="84" t="n">
        <x:v>21</x:v>
      </x:c>
      <x:c r="C22" s="81" t="str">
        <x:v>Aplicativo do paciente</x:v>
      </x:c>
      <x:c r="D22" s="81" t="str">
        <x:v>O desktop administra acessos, publicações e adesão do paciente.</x:v>
      </x:c>
      <x:c r="E22" s="81" t="str">
        <x:v>patient_app_page.py; patient_app*.py; test_patient_app.py</x:v>
      </x:c>
      <x:c r="F22" s="81" t="str">
        <x:v>Parcial</x:v>
      </x:c>
      <x:c r="G22" s="84" t="n">
        <x:v>5</x:v>
      </x:c>
      <x:c r="H22" s="81" t="str">
        <x:v>Criar o app/portal autenticado realmente usado pelo paciente, com API e fluxo de recuperação de acesso.</x:v>
      </x:c>
      <x:c r="I22" s="81" t="str">
        <x:v>P1</x:v>
      </x:c>
      <x:c r="J22" s="81" t="str">
        <x:v>Canais</x:v>
      </x:c>
    </x:row>
    <x:row r="23" ht="63" customHeight="1">
      <x:c r="A23" s="81" t="str">
        <x:v>F22</x:v>
      </x:c>
      <x:c r="B23" s="84" t="n">
        <x:v>22</x:v>
      </x:c>
      <x:c r="C23" s="81" t="str">
        <x:v>Portal web</x:v>
      </x:c>
      <x:c r="D23" s="81" t="str">
        <x:v>Geração local de 3 páginas HTML estáticas e CSS, com histórico de publicação.</x:v>
      </x:c>
      <x:c r="E23" s="81" t="str">
        <x:v>web_portal_page.py; web_portal.py; test_web_portal.py</x:v>
      </x:c>
      <x:c r="F23" s="81" t="str">
        <x:v>Parcial</x:v>
      </x:c>
      <x:c r="G23" s="84" t="n">
        <x:v>2</x:v>
      </x:c>
      <x:c r="H23" s="81" t="str">
        <x:v>Implementar hospedagem, autenticação, atualização dinâmica, API e controles de privacidade.</x:v>
      </x:c>
      <x:c r="I23" s="81" t="str">
        <x:v>P1</x:v>
      </x:c>
      <x:c r="J23" s="81" t="str">
        <x:v>Canais</x:v>
      </x:c>
    </x:row>
    <x:row r="24" ht="63" customHeight="1">
      <x:c r="A24" s="81" t="str">
        <x:v>F23</x:v>
      </x:c>
      <x:c r="B24" s="84" t="n">
        <x:v>23</x:v>
      </x:c>
      <x:c r="C24" s="81" t="str">
        <x:v>IA assistiva</x:v>
      </x:c>
      <x:c r="D24" s="81" t="str">
        <x:v>Sugestões e alertas locais por regras, com disclaimer e histórico auditável.</x:v>
      </x:c>
      <x:c r="E24" s="81" t="str">
        <x:v>ai_assistant_page.py; ai_assistant.py; test_ai_assistant.py</x:v>
      </x:c>
      <x:c r="F24" s="81" t="str">
        <x:v>Parcial</x:v>
      </x:c>
      <x:c r="G24" s="84" t="n">
        <x:v>3</x:v>
      </x:c>
      <x:c r="H24" s="81" t="str">
        <x:v>Se desejado, integrar modelo real com consentimento, proteção de dados, avaliação e monitoramento; hoje não há IA generativa.</x:v>
      </x:c>
      <x:c r="I24" s="81" t="str">
        <x:v>P1</x:v>
      </x:c>
      <x:c r="J24" s="81" t="str">
        <x:v>Inteligência</x:v>
      </x:c>
    </x:row>
    <x:row r="25" ht="63" customHeight="1">
      <x:c r="A25" s="81" t="str">
        <x:v>F24</x:v>
      </x:c>
      <x:c r="B25" s="84" t="n">
        <x:v>24</x:v>
      </x:c>
      <x:c r="C25" s="81" t="str">
        <x:v>Integrações externas</x:v>
      </x:c>
      <x:c r="D25" s="81" t="str">
        <x:v>Cadastro, parser JSON laboratorial e histórico de execução existem.</x:v>
      </x:c>
      <x:c r="E25" s="81" t="str">
        <x:v>integrations_page.py; integration.py; test_integrations.py</x:v>
      </x:c>
      <x:c r="F25" s="81" t="str">
        <x:v>Parcial</x:v>
      </x:c>
      <x:c r="G25" s="84" t="n">
        <x:v>4</x:v>
      </x:c>
      <x:c r="H25" s="81" t="str">
        <x:v>Implementar chamadas/webhooks reais, autenticação, retries, idempotência, observabilidade e conectores homologados.</x:v>
      </x:c>
      <x:c r="I25" s="81" t="str">
        <x:v>P1</x:v>
      </x:c>
      <x:c r="J25" s="81" t="str">
        <x:v>Integrações</x:v>
      </x:c>
    </x:row>
    <x:row r="26" ht="63" customHeight="1">
      <x:c r="A26" s="81" t="str">
        <x:v>F25</x:v>
      </x:c>
      <x:c r="B26" s="84" t="n">
        <x:v>25</x:v>
      </x:c>
      <x:c r="C26" s="81" t="str">
        <x:v>Testes e implantação</x:v>
      </x:c>
      <x:c r="D26" s="81" t="str">
        <x:v>73 testes passam, Ruff passa, checklist existe e executável Windows foi gerado.</x:v>
      </x:c>
      <x:c r="E26" s="81" t="str">
        <x:v>tests; deployment_page.py; dist/Nutri Clinic Pro; docs/release_v1_0.md</x:v>
      </x:c>
      <x:c r="F26" s="81" t="str">
        <x:v>Parcial</x:v>
      </x:c>
      <x:c r="G26" s="84" t="n">
        <x:v>73</x:v>
      </x:c>
      <x:c r="H26" s="81" t="str">
        <x:v>Corrigir .venv, criar CI, medir cobertura, testar UI/E2E e validar instalador em máquina limpa.</x:v>
      </x:c>
      <x:c r="I26" s="81" t="str">
        <x:v>P0</x:v>
      </x:c>
      <x:c r="J26" s="81" t="str">
        <x:v>Qualidade</x:v>
      </x:c>
    </x:row>
    <x:row r="27" ht="63" customHeight="1">
      <x:c r="A27" s="81" t="str">
        <x:v>F26</x:v>
      </x:c>
      <x:c r="B27" s="84" t="n">
        <x:v>26</x:v>
      </x:c>
      <x:c r="C27" s="81" t="str">
        <x:v>Anamnese avançada</x:v>
      </x:c>
      <x:c r="D27" s="81" t="str">
        <x:v>Perfis, barreiras, gatilhos e risco comportamental foram integrados à anamnese.</x:v>
      </x:c>
      <x:c r="E27" s="81" t="str">
        <x:v>advanced_clinical.py; anamnesis_form.py; fase_26_anamnese_avancada.md</x:v>
      </x:c>
      <x:c r="F27" s="81" t="str">
        <x:v>Parcial</x:v>
      </x:c>
      <x:c r="G27" s="84" t="n">
        <x:v>3</x:v>
      </x:c>
      <x:c r="H27" s="81" t="str">
        <x:v>Aumentar profundidade por perfil e validar lógica/linguagem clínica.</x:v>
      </x:c>
      <x:c r="I27" s="81" t="str">
        <x:v>P0</x:v>
      </x:c>
      <x:c r="J27" s="81" t="str">
        <x:v>Clínico avançado</x:v>
      </x:c>
    </x:row>
    <x:row r="28" ht="63" customHeight="1">
      <x:c r="A28" s="81" t="str">
        <x:v>F27</x:v>
      </x:c>
      <x:c r="B28" s="84" t="n">
        <x:v>27</x:v>
      </x:c>
      <x:c r="C28" s="81" t="str">
        <x:v>Exames avançados</x:v>
      </x:c>
      <x:c r="D28" s="81" t="str">
        <x:v>Tela genérica e regras para albumina, PCR, potássio, fósforo, Hb e HbA1c.</x:v>
      </x:c>
      <x:c r="E28" s="81" t="str">
        <x:v>advanced_module_page.py; advanced_clinical.py; fase_27_exames_laboratoriais_avancados.md</x:v>
      </x:c>
      <x:c r="F28" s="81" t="str">
        <x:v>Parcial</x:v>
      </x:c>
      <x:c r="G28" s="84" t="n">
        <x:v>3</x:v>
      </x:c>
      <x:c r="H28" s="81" t="str">
        <x:v>Referências parametrizadas, unidades, fatores demográficos e validação clínica abrangente.</x:v>
      </x:c>
      <x:c r="I28" s="81" t="str">
        <x:v>P0</x:v>
      </x:c>
      <x:c r="J28" s="81" t="str">
        <x:v>Clínico avançado</x:v>
      </x:c>
    </x:row>
    <x:row r="29" ht="63" customHeight="1">
      <x:c r="A29" s="81" t="str">
        <x:v>F28</x:v>
      </x:c>
      <x:c r="B29" s="84" t="n">
        <x:v>28</x:v>
      </x:c>
      <x:c r="C29" s="81" t="str">
        <x:v>Protocolos clínicos</x:v>
      </x:c>
      <x:c r="D29" s="81" t="str">
        <x:v>Checklists BRASPEN/ASPEN/ESPEN/NFPE, sarcopenia e fragilidade por regras.</x:v>
      </x:c>
      <x:c r="E29" s="81" t="str">
        <x:v>advanced_module_page.py; advanced_clinical.py; fase_28_protocolos_clinicos.md</x:v>
      </x:c>
      <x:c r="F29" s="81" t="str">
        <x:v>Parcial</x:v>
      </x:c>
      <x:c r="G29" s="84" t="n">
        <x:v>3</x:v>
      </x:c>
      <x:c r="H29" s="81" t="str">
        <x:v>Formalizar versões/fontes, critérios completos e revisão por especialistas.</x:v>
      </x:c>
      <x:c r="I29" s="81" t="str">
        <x:v>P0</x:v>
      </x:c>
      <x:c r="J29" s="81" t="str">
        <x:v>Clínico avançado</x:v>
      </x:c>
    </x:row>
    <x:row r="30" ht="63" customHeight="1">
      <x:c r="A30" s="81" t="str">
        <x:v>F29</x:v>
      </x:c>
      <x:c r="B30" s="84" t="n">
        <x:v>29</x:v>
      </x:c>
      <x:c r="C30" s="81" t="str">
        <x:v>Pediatria</x:v>
      </x:c>
      <x:c r="D30" s="81" t="str">
        <x:v>IMC e classificação baseada em percentil informado estão disponíveis.</x:v>
      </x:c>
      <x:c r="E30" s="81" t="str">
        <x:v>advanced_module_page.py; advanced_clinical.py; fase_29_pediatria.md</x:v>
      </x:c>
      <x:c r="F30" s="81" t="str">
        <x:v>Parcial</x:v>
      </x:c>
      <x:c r="G30" s="84" t="n">
        <x:v>3</x:v>
      </x:c>
      <x:c r="H30" s="81" t="str">
        <x:v>Calcular curvas oficiais por idade/sexo e z-score, sem depender de percentil digitado.</x:v>
      </x:c>
      <x:c r="I30" s="81" t="str">
        <x:v>P0</x:v>
      </x:c>
      <x:c r="J30" s="81" t="str">
        <x:v>Clínico avançado</x:v>
      </x:c>
    </x:row>
    <x:row r="31" ht="63" customHeight="1">
      <x:c r="A31" s="81" t="str">
        <x:v>F30</x:v>
      </x:c>
      <x:c r="B31" s="84" t="n">
        <x:v>30</x:v>
      </x:c>
      <x:c r="C31" s="81" t="str">
        <x:v>Nefrologia/hemodiálise</x:v>
      </x:c>
      <x:c r="D31" s="81" t="str">
        <x:v>Peso seco, ganho interdialítico, URR e Kt/V estimado com alertas.</x:v>
      </x:c>
      <x:c r="E31" s="81" t="str">
        <x:v>advanced_module_page.py; advanced_clinical.py; fase_30_nefrologia_hemodialise.md</x:v>
      </x:c>
      <x:c r="F31" s="81" t="str">
        <x:v>Parcial</x:v>
      </x:c>
      <x:c r="G31" s="84" t="n">
        <x:v>3</x:v>
      </x:c>
      <x:c r="H31" s="81" t="str">
        <x:v>Validar fórmulas, exceções e metas individualizadas; adicionar séries por sessão.</x:v>
      </x:c>
      <x:c r="I31" s="81" t="str">
        <x:v>P0</x:v>
      </x:c>
      <x:c r="J31" s="81" t="str">
        <x:v>Clínico avançado</x:v>
      </x:c>
    </x:row>
    <x:row r="32" ht="63" customHeight="1">
      <x:c r="A32" s="81" t="str">
        <x:v>F31</x:v>
      </x:c>
      <x:c r="B32" s="84" t="n">
        <x:v>31</x:v>
      </x:c>
      <x:c r="C32" s="81" t="str">
        <x:v>Antropometria avançada</x:v>
      </x:c>
      <x:c r="D32" s="81" t="str">
        <x:v>Índices, CMB, AMB, FMI e FFMI integrados ao módulo de antropometria.</x:v>
      </x:c>
      <x:c r="E32" s="81" t="str">
        <x:v>anthropometry_page.py; advanced_clinical.py; fase_31_antropometria_avancada.md</x:v>
      </x:c>
      <x:c r="F32" s="81" t="str">
        <x:v>Parcial</x:v>
      </x:c>
      <x:c r="G32" s="84" t="n">
        <x:v>3</x:v>
      </x:c>
      <x:c r="H32" s="81" t="str">
        <x:v>Tabelas de referência, percentis e validação específica por população/método.</x:v>
      </x:c>
      <x:c r="I32" s="81" t="str">
        <x:v>P0</x:v>
      </x:c>
      <x:c r="J32" s="81" t="str">
        <x:v>Clínico avançado</x:v>
      </x:c>
    </x:row>
    <x:row r="33" ht="63" customHeight="1">
      <x:c r="A33" s="81" t="str">
        <x:v>F32</x:v>
      </x:c>
      <x:c r="B33" s="84" t="n">
        <x:v>32</x:v>
      </x:c>
      <x:c r="C33" s="81" t="str">
        <x:v>Terapia nutricional</x:v>
      </x:c>
      <x:c r="D33" s="81" t="str">
        <x:v>Cálculo inicial de volume, infusão, proteína e água para terapia nutricional.</x:v>
      </x:c>
      <x:c r="E33" s="81" t="str">
        <x:v>advanced_module_page.py; advanced_clinical.py; fase_32_terapia_nutricional.md</x:v>
      </x:c>
      <x:c r="F33" s="81" t="str">
        <x:v>Parcial</x:v>
      </x:c>
      <x:c r="G33" s="84" t="n">
        <x:v>3</x:v>
      </x:c>
      <x:c r="H33" s="81" t="str">
        <x:v>Protocolos completos, segurança de prescrição, eletrólitos, limites e dupla checagem clínica.</x:v>
      </x:c>
      <x:c r="I33" s="81" t="str">
        <x:v>P0</x:v>
      </x:c>
      <x:c r="J33" s="81" t="str">
        <x:v>Clínico avançado</x:v>
      </x:c>
    </x:row>
    <x:row r="34" ht="63" customHeight="1">
      <x:c r="A34" s="81" t="str">
        <x:v>F33</x:v>
      </x:c>
      <x:c r="B34" s="84" t="n">
        <x:v>33</x:v>
      </x:c>
      <x:c r="C34" s="81" t="str">
        <x:v>Plano inteligente</x:v>
      </x:c>
      <x:c r="D34" s="81" t="str">
        <x:v>Distribuição percentual de energia por refeições integrada ao plano alimentar.</x:v>
      </x:c>
      <x:c r="E34" s="81" t="str">
        <x:v>meal_plan_page.py; advanced_clinical.py; fase_33_plano_inteligente.md</x:v>
      </x:c>
      <x:c r="F34" s="81" t="str">
        <x:v>Parcial</x:v>
      </x:c>
      <x:c r="G34" s="84" t="n">
        <x:v>3</x:v>
      </x:c>
      <x:c r="H34" s="81" t="str">
        <x:v>Otimização nutricional real, equivalências, restrições, micronutrientes e geração automática de itens.</x:v>
      </x:c>
      <x:c r="I34" s="81" t="str">
        <x:v>P1</x:v>
      </x:c>
      <x:c r="J34" s="81" t="str">
        <x:v>Inteligência</x:v>
      </x:c>
    </x:row>
    <x:row r="35" ht="63" customHeight="1">
      <x:c r="A35" s="82" t="str">
        <x:v>B01</x:v>
      </x:c>
      <x:c r="B35" s="85"/>
      <x:c r="C35" s="82" t="str">
        <x:v>Evolução gráfica</x:v>
      </x:c>
      <x:c r="D35" s="82" t="str">
        <x:v>Item registrado no backlog, sem biblioteca/componente de gráficos encontrado no código.</x:v>
      </x:c>
      <x:c r="E35" s="82" t="str">
        <x:v>docs/backlog_mvp.md:27; busca por QChart/matplotlib sem ocorrências</x:v>
      </x:c>
      <x:c r="F35" s="82" t="str">
        <x:v>Pendente</x:v>
      </x:c>
      <x:c r="G35" s="85" t="n">
        <x:v>0</x:v>
      </x:c>
      <x:c r="H35" s="82" t="str">
        <x:v>Implementar gráficos longitudinais de peso, composição, exames e adesão.</x:v>
      </x:c>
      <x:c r="I35" s="82" t="str">
        <x:v>P1</x:v>
      </x:c>
      <x:c r="J35" s="82" t="str">
        <x:v>Backlog</x:v>
      </x:c>
    </x:row>
  </x:sheetData>
  <x:conditionalFormatting sqref="F2:F35">
    <x:cfRule type="containsText" dxfId="0" priority="1" operator="containsText" text="Concluído"/>
    <x:cfRule type="containsText" dxfId="1" priority="2" operator="containsText" text="Parcial"/>
    <x:cfRule type="containsText" dxfId="2" priority="3" operator="containsText" text="Pendente"/>
  </x:conditionalFormatting>
  <x:conditionalFormatting sqref="I2:I35">
    <x:cfRule type="containsText" dxfId="3" priority="4" operator="containsText" text="P0"/>
    <x:cfRule type="containsText" dxfId="4" priority="5" operator="containsText" text="P1"/>
  </x:conditionalFormatting>
  <x:dataValidations count="2">
    <x:dataValidation type="list" sqref="F2:F100">
      <x:formula1>"Concluído,Parcial,Pendente"</x:formula1>
    </x:dataValidation>
    <x:dataValidation type="list" sqref="I2:I1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c14a42b85142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22" hidden="0" customWidth="1"/>
    <x:col min="5" max="5" width="52" hidden="0" customWidth="1"/>
    <x:col min="6" max="6" width="58" hidden="0" customWidth="1"/>
    <x:col min="7" max="7" width="11" hidden="0" customWidth="1"/>
    <x:col min="8" max="8" width="20" hidden="0" customWidth="1"/>
    <x:col min="9" max="9" width="18" hidden="0" customWidth="1"/>
  </x:cols>
  <x:sheetData>
    <x:row r="1" ht="30" customHeight="1">
      <x:c r="A1" s="13" t="str">
        <x:v>ID</x:v>
      </x:c>
      <x:c r="B1" s="39" t="str">
        <x:v>Prioridade</x:v>
      </x:c>
      <x:c r="C1" s="39" t="str">
        <x:v>Pendência</x:v>
      </x:c>
      <x:c r="D1" s="39" t="str">
        <x:v>Impacto</x:v>
      </x:c>
      <x:c r="E1" s="39" t="str">
        <x:v>Evidência</x:v>
      </x:c>
      <x:c r="F1" s="39" t="str">
        <x:v>Critério de aceite</x:v>
      </x:c>
      <x:c r="G1" s="39" t="str">
        <x:v>Esforço</x:v>
      </x:c>
      <x:c r="H1" s="39" t="str">
        <x:v>Horizonte</x:v>
      </x:c>
      <x:c r="I1" s="14" t="str">
        <x:v>Estado</x:v>
      </x:c>
    </x:row>
    <x:row r="2" ht="63" customHeight="1">
      <x:c r="A2" s="80" t="str">
        <x:v>P01</x:v>
      </x:c>
      <x:c r="B2" s="80" t="str">
        <x:v>P0</x:v>
      </x:c>
      <x:c r="C2" s="80" t="str">
        <x:v>Recriar ambiente virtual</x:v>
      </x:c>
      <x:c r="D2" s="80" t="str">
        <x:v>Execução e onboarding</x:v>
      </x:c>
      <x:c r="E2" s="80" t="str">
        <x:v>A .venv aponta para caminho de usuário inexistente.</x:v>
      </x:c>
      <x:c r="F2" s="80" t="str">
        <x:v>Criar ambiente limpo, instalar requirements-dev e executar app/testes pelos comandos documentados.</x:v>
      </x:c>
      <x:c r="G2" s="80" t="str">
        <x:v>P</x:v>
      </x:c>
      <x:c r="H2" s="80" t="str">
        <x:v>Curto</x:v>
      </x:c>
      <x:c r="I2" s="80" t="str">
        <x:v>Não iniciado</x:v>
      </x:c>
    </x:row>
    <x:row r="3" ht="63" customHeight="1">
      <x:c r="A3" s="81" t="str">
        <x:v>P02</x:v>
      </x:c>
      <x:c r="B3" s="81" t="str">
        <x:v>P0</x:v>
      </x:c>
      <x:c r="C3" s="81" t="str">
        <x:v>Endurecer primeiro acesso</x:v>
      </x:c>
      <x:c r="D3" s="81" t="str">
        <x:v>Segurança</x:v>
      </x:c>
      <x:c r="E3" s="81" t="str">
        <x:v>Credencial padrão Admin@123 está documentada e o login a sugere.</x:v>
      </x:c>
      <x:c r="F3" s="81" t="str">
        <x:v>Forçar troca no primeiro login, política de senha e bloqueio/expiração conforme requisito.</x:v>
      </x:c>
      <x:c r="G3" s="81" t="str">
        <x:v>M</x:v>
      </x:c>
      <x:c r="H3" s="81" t="str">
        <x:v>Curto</x:v>
      </x:c>
      <x:c r="I3" s="81" t="str">
        <x:v>Não iniciado</x:v>
      </x:c>
    </x:row>
    <x:row r="4" ht="63" customHeight="1">
      <x:c r="A4" s="81" t="str">
        <x:v>P03</x:v>
      </x:c>
      <x:c r="B4" s="81" t="str">
        <x:v>P0</x:v>
      </x:c>
      <x:c r="C4" s="81" t="str">
        <x:v>Plano LGPD e proteção de dados</x:v>
      </x:c>
      <x:c r="D4" s="81" t="str">
        <x:v>Compliance</x:v>
      </x:c>
      <x:c r="E4" s="81" t="str">
        <x:v>Há dados de saúde em SQLite; não foi encontrada camada de criptografia/consentimento/retenção.</x:v>
      </x:c>
      <x:c r="F4" s="81" t="str">
        <x:v>Definir base legal, consentimento, retenção, exportação/exclusão, criptografia e resposta a incidentes.</x:v>
      </x:c>
      <x:c r="G4" s="81" t="str">
        <x:v>G</x:v>
      </x:c>
      <x:c r="H4" s="81" t="str">
        <x:v>Antes de produção</x:v>
      </x:c>
      <x:c r="I4" s="81" t="str">
        <x:v>Não iniciado</x:v>
      </x:c>
    </x:row>
    <x:row r="5" ht="63" customHeight="1">
      <x:c r="A5" s="81" t="str">
        <x:v>P04</x:v>
      </x:c>
      <x:c r="B5" s="81" t="str">
        <x:v>P0</x:v>
      </x:c>
      <x:c r="C5" s="81" t="str">
        <x:v>Validação clínica formal</x:v>
      </x:c>
      <x:c r="D5" s="81" t="str">
        <x:v>Segurança clínica</x:v>
      </x:c>
      <x:c r="E5" s="81" t="str">
        <x:v>Regras avançadas estão concentradas em serviço local e têm cobertura limitada.</x:v>
      </x:c>
      <x:c r="F5" s="81" t="str">
        <x:v>Revisão assinada por profissionais, fontes/versionamento e casos de referência para cada cálculo/protocolo.</x:v>
      </x:c>
      <x:c r="G5" s="81" t="str">
        <x:v>G</x:v>
      </x:c>
      <x:c r="H5" s="81" t="str">
        <x:v>Antes de produção</x:v>
      </x:c>
      <x:c r="I5" s="81" t="str">
        <x:v>Não iniciado</x:v>
      </x:c>
    </x:row>
    <x:row r="6" ht="63" customHeight="1">
      <x:c r="A6" s="81" t="str">
        <x:v>P05</x:v>
      </x:c>
      <x:c r="B6" s="81" t="str">
        <x:v>P0</x:v>
      </x:c>
      <x:c r="C6" s="81" t="str">
        <x:v>Automatizar backup seguro</x:v>
      </x:c>
      <x:c r="D6" s="81" t="str">
        <x:v>Continuidade</x:v>
      </x:c>
      <x:c r="E6" s="81" t="str">
        <x:v>Backup local/checksum existe, mas não há agendamento, cópia externa ou rotina de restauração.</x:v>
      </x:c>
      <x:c r="F6" s="81" t="str">
        <x:v>Backup automático criptografado, retenção, destino externo e teste documentado de restauração.</x:v>
      </x:c>
      <x:c r="G6" s="81" t="str">
        <x:v>M</x:v>
      </x:c>
      <x:c r="H6" s="81" t="str">
        <x:v>Antes de produção</x:v>
      </x:c>
      <x:c r="I6" s="81" t="str">
        <x:v>Não iniciado</x:v>
      </x:c>
    </x:row>
    <x:row r="7" ht="63" customHeight="1">
      <x:c r="A7" s="81" t="str">
        <x:v>P06</x:v>
      </x:c>
      <x:c r="B7" s="81" t="str">
        <x:v>P0</x:v>
      </x:c>
      <x:c r="C7" s="81" t="str">
        <x:v>Qualidade de release reproduzível</x:v>
      </x:c>
      <x:c r="D7" s="81" t="str">
        <x:v>Qualidade</x:v>
      </x:c>
      <x:c r="E7" s="81" t="str">
        <x:v>73 testes e Ruff passam, porém não há CI, cobertura, UI/E2E nem evidência de máquina limpa.</x:v>
      </x:c>
      <x:c r="F7" s="81" t="str">
        <x:v>Pipeline CI, cobertura mínima, smoke/UI/E2E e aceite do executável/instalador em ambiente limpo.</x:v>
      </x:c>
      <x:c r="G7" s="81" t="str">
        <x:v>G</x:v>
      </x:c>
      <x:c r="H7" s="81" t="str">
        <x:v>Antes de produção</x:v>
      </x:c>
      <x:c r="I7" s="81" t="str">
        <x:v>Em andamento</x:v>
      </x:c>
    </x:row>
    <x:row r="8" ht="63" customHeight="1">
      <x:c r="A8" s="81" t="str">
        <x:v>P07</x:v>
      </x:c>
      <x:c r="B8" s="81" t="str">
        <x:v>P1</x:v>
      </x:c>
      <x:c r="C8" s="81" t="str">
        <x:v>Evolução gráfica clínica</x:v>
      </x:c>
      <x:c r="D8" s="81" t="str">
        <x:v>Produto</x:v>
      </x:c>
      <x:c r="E8" s="81" t="str">
        <x:v>É o único item sem conclusão explícita no backlog e não há componente gráfico no código.</x:v>
      </x:c>
      <x:c r="F8" s="81" t="str">
        <x:v>Gráficos por período com filtros e dados de peso, composição, exames e adesão.</x:v>
      </x:c>
      <x:c r="G8" s="81" t="str">
        <x:v>M</x:v>
      </x:c>
      <x:c r="H8" s="81" t="str">
        <x:v>Próximo ciclo</x:v>
      </x:c>
      <x:c r="I8" s="81" t="str">
        <x:v>Não iniciado</x:v>
      </x:c>
    </x:row>
    <x:row r="9" ht="63" customHeight="1">
      <x:c r="A9" s="81" t="str">
        <x:v>P08</x:v>
      </x:c>
      <x:c r="B9" s="81" t="str">
        <x:v>P1</x:v>
      </x:c>
      <x:c r="C9" s="81" t="str">
        <x:v>Canal real do paciente</x:v>
      </x:c>
      <x:c r="D9" s="81" t="str">
        <x:v>Produto</x:v>
      </x:c>
      <x:c r="E9" s="81" t="str">
        <x:v>O módulo atual administra dados no desktop; não existe cliente autenticado para o paciente.</x:v>
      </x:c>
      <x:c r="F9" s="81" t="str">
        <x:v>API + interface mobile/web responsiva, autenticação, recuperação de acesso e notificações.</x:v>
      </x:c>
      <x:c r="G9" s="81" t="str">
        <x:v>G</x:v>
      </x:c>
      <x:c r="H9" s="81" t="str">
        <x:v>Roadmap</x:v>
      </x:c>
      <x:c r="I9" s="81" t="str">
        <x:v>Fundação pronta</x:v>
      </x:c>
    </x:row>
    <x:row r="10" ht="63" customHeight="1">
      <x:c r="A10" s="81" t="str">
        <x:v>P09</x:v>
      </x:c>
      <x:c r="B10" s="81" t="str">
        <x:v>P1</x:v>
      </x:c>
      <x:c r="C10" s="81" t="str">
        <x:v>Portal web dinâmico</x:v>
      </x:c>
      <x:c r="D10" s="81" t="str">
        <x:v>Produto</x:v>
      </x:c>
      <x:c r="E10" s="81" t="str">
        <x:v>O portal atual é exportação HTML estática local.</x:v>
      </x:c>
      <x:c r="F10" s="81" t="str">
        <x:v>Hospedagem segura, autenticação, sincronização dinâmica, API e isolamento de dados.</x:v>
      </x:c>
      <x:c r="G10" s="81" t="str">
        <x:v>G</x:v>
      </x:c>
      <x:c r="H10" s="81" t="str">
        <x:v>Roadmap</x:v>
      </x:c>
      <x:c r="I10" s="81" t="str">
        <x:v>Fundação pronta</x:v>
      </x:c>
    </x:row>
    <x:row r="11" ht="63" customHeight="1">
      <x:c r="A11" s="81" t="str">
        <x:v>P10</x:v>
      </x:c>
      <x:c r="B11" s="81" t="str">
        <x:v>P1</x:v>
      </x:c>
      <x:c r="C11" s="81" t="str">
        <x:v>Integrações reais</x:v>
      </x:c>
      <x:c r="D11" s="81" t="str">
        <x:v>Integrações</x:v>
      </x:c>
      <x:c r="E11" s="81" t="str">
        <x:v>A sincronização é explicitamente simulada e não há cliente HTTP/dependência correspondente.</x:v>
      </x:c>
      <x:c r="F11" s="81" t="str">
        <x:v>Conectores homologados com OAuth/chaves, retries, idempotência, logs e tratamento de falhas.</x:v>
      </x:c>
      <x:c r="G11" s="81" t="str">
        <x:v>G</x:v>
      </x:c>
      <x:c r="H11" s="81" t="str">
        <x:v>Roadmap</x:v>
      </x:c>
      <x:c r="I11" s="81" t="str">
        <x:v>Fundação pronta</x:v>
      </x:c>
    </x:row>
    <x:row r="12" ht="63" customHeight="1">
      <x:c r="A12" s="81" t="str">
        <x:v>P11</x:v>
      </x:c>
      <x:c r="B12" s="81" t="str">
        <x:v>P1</x:v>
      </x:c>
      <x:c r="C12" s="81" t="str">
        <x:v>Definir estratégia de IA</x:v>
      </x:c>
      <x:c r="D12" s="81" t="str">
        <x:v>Produto/risco</x:v>
      </x:c>
      <x:c r="E12" s="81" t="str">
        <x:v>O recurso chamado IA usa regras determinísticas locais, não um modelo de IA.</x:v>
      </x:c>
      <x:c r="F12" s="81" t="str">
        <x:v>Decidir se regras bastam; se integrar modelo, criar avaliação, consentimento, anonimização e supervisão.</x:v>
      </x:c>
      <x:c r="G12" s="81" t="str">
        <x:v>G</x:v>
      </x:c>
      <x:c r="H12" s="81" t="str">
        <x:v>Roadmap</x:v>
      </x:c>
      <x:c r="I12" s="81" t="str">
        <x:v>Fundação pronta</x:v>
      </x:c>
    </x:row>
    <x:row r="13" ht="63" customHeight="1">
      <x:c r="A13" s="81" t="str">
        <x:v>P12</x:v>
      </x:c>
      <x:c r="B13" s="81" t="str">
        <x:v>P1</x:v>
      </x:c>
      <x:c r="C13" s="81" t="str">
        <x:v>Relatórios profissionais</x:v>
      </x:c>
      <x:c r="D13" s="81" t="str">
        <x:v>Operação</x:v>
      </x:c>
      <x:c r="E13" s="81" t="str">
        <x:v>A exportação automatizada validada é TXT.</x:v>
      </x:c>
      <x:c r="F13" s="81" t="str">
        <x:v>PDF/impressão com identidade, CRN, assinatura, paginação, modelos e testes visuais.</x:v>
      </x:c>
      <x:c r="G13" s="81" t="str">
        <x:v>M</x:v>
      </x:c>
      <x:c r="H13" s="81" t="str">
        <x:v>Próximo ciclo</x:v>
      </x:c>
      <x:c r="I13" s="81" t="str">
        <x:v>Fundação pronta</x:v>
      </x:c>
    </x:row>
    <x:row r="14" ht="63" customHeight="1">
      <x:c r="A14" s="81" t="str">
        <x:v>P13</x:v>
      </x:c>
      <x:c r="B14" s="81" t="str">
        <x:v>P1</x:v>
      </x:c>
      <x:c r="C14" s="81" t="str">
        <x:v>Banco e arquitetura multiusuário</x:v>
      </x:c>
      <x:c r="D14" s="81" t="str">
        <x:v>Escala</x:v>
      </x:c>
      <x:c r="E14" s="81" t="str">
        <x:v>SQLite desktop é o único banco; FastAPI/PostgreSQL aparecem apenas como futuro.</x:v>
      </x:c>
      <x:c r="F14" s="81" t="str">
        <x:v>Definir requisito de concorrência/offline; implementar API/PostgreSQL somente se o produto exigir multiusuário.</x:v>
      </x:c>
      <x:c r="G14" s="81" t="str">
        <x:v>G</x:v>
      </x:c>
      <x:c r="H14" s="81" t="str">
        <x:v>Roadmap</x:v>
      </x:c>
      <x:c r="I14" s="81" t="str">
        <x:v>Não iniciado</x:v>
      </x:c>
    </x:row>
    <x:row r="15" ht="63" customHeight="1">
      <x:c r="A15" s="81" t="str">
        <x:v>P14</x:v>
      </x:c>
      <x:c r="B15" s="81" t="str">
        <x:v>P1</x:v>
      </x:c>
      <x:c r="C15" s="81" t="str">
        <x:v>Base oficial de alimentos</x:v>
      </x:c>
      <x:c r="D15" s="81" t="str">
        <x:v>Dados clínicos</x:v>
      </x:c>
      <x:c r="E15" s="81" t="str">
        <x:v>Existe CRUD local, sem processo visível de importação/versionamento de base oficial ampla.</x:v>
      </x:c>
      <x:c r="F15" s="81" t="str">
        <x:v>Importar fonte oficial, registrar licença/versão e criar atualização com rastreabilidade.</x:v>
      </x:c>
      <x:c r="G15" s="81" t="str">
        <x:v>M</x:v>
      </x:c>
      <x:c r="H15" s="81" t="str">
        <x:v>Próximo ciclo</x:v>
      </x:c>
      <x:c r="I15" s="81" t="str">
        <x:v>Fundação pronta</x:v>
      </x:c>
    </x:row>
    <x:row r="16" ht="63" customHeight="1">
      <x:c r="A16" s="82" t="str">
        <x:v>P15</x:v>
      </x:c>
      <x:c r="B16" s="82" t="str">
        <x:v>P2</x:v>
      </x:c>
      <x:c r="C16" s="82" t="str">
        <x:v>Corrigir documentação e distribuição</x:v>
      </x:c>
      <x:c r="D16" s="82" t="str">
        <x:v>Manutenção</x:v>
      </x:c>
      <x:c r="E16" s="82" t="str">
        <x:v>README exibe caracteres corrompidos e não há instalador/assinatura digital versionados.</x:v>
      </x:c>
      <x:c r="F16" s="82" t="str">
        <x:v>Salvar documentação em UTF-8, gerar instalador, assinar binário e publicar notas de versão.</x:v>
      </x:c>
      <x:c r="G16" s="82" t="str">
        <x:v>M</x:v>
      </x:c>
      <x:c r="H16" s="82" t="str">
        <x:v>Depois dos P0/P1</x:v>
      </x:c>
      <x:c r="I16" s="82" t="str">
        <x:v>Em andamento</x:v>
      </x:c>
    </x:row>
  </x:sheetData>
  <x:conditionalFormatting sqref="B2:B16">
    <x:cfRule type="containsText" dxfId="5" priority="1" operator="containsText" text="P0"/>
    <x:cfRule type="containsText" dxfId="6" priority="2" operator="containsText" text="P1"/>
  </x:conditionalFormatting>
  <x:conditionalFormatting sqref="I2:I16">
    <x:cfRule type="containsText" dxfId="7" priority="3" operator="containsText" text="Fundação pronta"/>
  </x:conditionalFormatting>
  <x:dataValidations count="2">
    <x:dataValidation type="list" sqref="B2:B100">
      <x:formula1>"P0,P1,P2"</x:formula1>
    </x:dataValidation>
    <x:dataValidation type="list" sqref="I2:I100">
      <x:formula1>"Não iniciado,Fundação pronta,Em andamento,Concluído"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253ddcbf3147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60" hidden="0" customWidth="1"/>
    <x:col min="4" max="4" width="47" hidden="0" customWidth="1"/>
    <x:col min="5" max="5" width="16" hidden="0" customWidth="1"/>
  </x:cols>
  <x:sheetData>
    <x:row r="1" ht="30" customHeight="1">
      <x:c r="A1" s="13" t="str">
        <x:v>Verificação</x:v>
      </x:c>
      <x:c r="B1" s="39" t="str">
        <x:v>Resultado</x:v>
      </x:c>
      <x:c r="C1" s="39" t="str">
        <x:v>Método/observação</x:v>
      </x:c>
      <x:c r="D1" s="39" t="str">
        <x:v>Fonte local</x:v>
      </x:c>
      <x:c r="E1" s="14" t="str">
        <x:v>Situação</x:v>
      </x:c>
    </x:row>
    <x:row r="2" ht="46" customHeight="1">
      <x:c r="A2" s="80" t="str">
        <x:v>Data da auditoria</x:v>
      </x:c>
      <x:c r="B2" s="80" t="str">
        <x:v>2026-08-15</x:v>
      </x:c>
      <x:c r="C2" s="80" t="str">
        <x:v>Contexto da análise</x:v>
      </x:c>
      <x:c r="D2" s="80" t="str">
        <x:v>Ambiente local do projeto</x:v>
      </x:c>
      <x:c r="E2" s="80" t="str">
        <x:v>Informativo</x:v>
      </x:c>
    </x:row>
    <x:row r="3" ht="46" customHeight="1">
      <x:c r="A3" s="81" t="str">
        <x:v>Estado do Git</x:v>
      </x:c>
      <x:c r="B3" s="81" t="str">
        <x:v>Limpo</x:v>
      </x:c>
      <x:c r="C3" s="81" t="str">
        <x:v>git status --short sem saída</x:v>
      </x:c>
      <x:c r="D3" s="81" t="str">
        <x:v>.git</x:v>
      </x:c>
      <x:c r="E3" s="81" t="str">
        <x:v>Passou</x:v>
      </x:c>
    </x:row>
    <x:row r="4" ht="46" customHeight="1">
      <x:c r="A4" s="81" t="str">
        <x:v>Versão declarada</x:v>
      </x:c>
      <x:c r="B4" s="81" t="str">
        <x:v>1.0.0</x:v>
      </x:c>
      <x:c r="C4" s="81" t="str">
        <x:v>Metadados do projeto</x:v>
      </x:c>
      <x:c r="D4" s="81" t="str">
        <x:v>pyproject.toml; docs/release_v1_0.md</x:v>
      </x:c>
      <x:c r="E4" s="81" t="str">
        <x:v>Passou</x:v>
      </x:c>
    </x:row>
    <x:row r="5" ht="46" customHeight="1">
      <x:c r="A5" s="81" t="str">
        <x:v>Arquivos Python de produto</x:v>
      </x:c>
      <x:c r="B5" s="81" t="n">
        <x:v>120</x:v>
      </x:c>
      <x:c r="C5" s="81" t="str">
        <x:v>Contagem em src</x:v>
      </x:c>
      <x:c r="D5" s="81" t="str">
        <x:v>src/**/*.py</x:v>
      </x:c>
      <x:c r="E5" s="81" t="str">
        <x:v>Informativo</x:v>
      </x:c>
    </x:row>
    <x:row r="6" ht="46" customHeight="1">
      <x:c r="A6" s="81" t="str">
        <x:v>Linhas Python de produto</x:v>
      </x:c>
      <x:c r="B6" s="81" t="n">
        <x:v>15357</x:v>
      </x:c>
      <x:c r="C6" s="81" t="str">
        <x:v>Contagem aproximada</x:v>
      </x:c>
      <x:c r="D6" s="81" t="str">
        <x:v>src/**/*.py</x:v>
      </x:c>
      <x:c r="E6" s="81" t="str">
        <x:v>Informativo</x:v>
      </x:c>
    </x:row>
    <x:row r="7" ht="46" customHeight="1">
      <x:c r="A7" s="81" t="str">
        <x:v>Arquivos de teste</x:v>
      </x:c>
      <x:c r="B7" s="81" t="n">
        <x:v>28</x:v>
      </x:c>
      <x:c r="C7" s="81" t="str">
        <x:v>Contagem em tests</x:v>
      </x:c>
      <x:c r="D7" s="81" t="str">
        <x:v>tests/**/*.py</x:v>
      </x:c>
      <x:c r="E7" s="81" t="str">
        <x:v>Informativo</x:v>
      </x:c>
    </x:row>
    <x:row r="8" ht="46" customHeight="1">
      <x:c r="A8" s="81" t="str">
        <x:v>Linhas de testes</x:v>
      </x:c>
      <x:c r="B8" s="81" t="n">
        <x:v>2325</x:v>
      </x:c>
      <x:c r="C8" s="81" t="str">
        <x:v>Contagem aproximada</x:v>
      </x:c>
      <x:c r="D8" s="81" t="str">
        <x:v>tests/**/*.py</x:v>
      </x:c>
      <x:c r="E8" s="81" t="str">
        <x:v>Informativo</x:v>
      </x:c>
    </x:row>
    <x:row r="9" ht="46" customHeight="1">
      <x:c r="A9" s="81" t="str">
        <x:v>Migrations</x:v>
      </x:c>
      <x:c r="B9" s="81" t="n">
        <x:v>20</x:v>
      </x:c>
      <x:c r="C9" s="81" t="str">
        <x:v>0001 a 0020 presentes</x:v>
      </x:c>
      <x:c r="D9" s="81" t="str">
        <x:v>database/migrations</x:v>
      </x:c>
      <x:c r="E9" s="81" t="str">
        <x:v>Passou</x:v>
      </x:c>
    </x:row>
    <x:row r="10" ht="46" customHeight="1">
      <x:c r="A10" s="81" t="str">
        <x:v>Testes automatizados</x:v>
      </x:c>
      <x:c r="B10" s="81" t="str">
        <x:v>73/73</x:v>
      </x:c>
      <x:c r="C10" s="81" t="str">
        <x:v>pytest -q em runtime válido + site-packages existente; 7,48 s</x:v>
      </x:c>
      <x:c r="D10" s="81" t="str">
        <x:v>tests</x:v>
      </x:c>
      <x:c r="E10" s="81" t="str">
        <x:v>Passou</x:v>
      </x:c>
    </x:row>
    <x:row r="11" ht="46" customHeight="1">
      <x:c r="A11" s="81" t="str">
        <x:v>Avisos de teste</x:v>
      </x:c>
      <x:c r="B11" s="81" t="n">
        <x:v>1</x:v>
      </x:c>
      <x:c r="C11" s="81" t="str">
        <x:v>Pytest não conseguiu atualizar cache por permissão; não afetou casos</x:v>
      </x:c>
      <x:c r="D11" s="81" t="str">
        <x:v>.pytest_cache</x:v>
      </x:c>
      <x:c r="E11" s="81" t="str">
        <x:v>Atenção</x:v>
      </x:c>
    </x:row>
    <x:row r="12" ht="46" customHeight="1">
      <x:c r="A12" s="81" t="str">
        <x:v>Qualidade estática</x:v>
      </x:c>
      <x:c r="B12" s="81" t="str">
        <x:v>0 erros</x:v>
      </x:c>
      <x:c r="C12" s="81" t="str">
        <x:v>ruff check src tests</x:v>
      </x:c>
      <x:c r="D12" s="81" t="str">
        <x:v>src; tests</x:v>
      </x:c>
      <x:c r="E12" s="81" t="str">
        <x:v>Passou</x:v>
      </x:c>
    </x:row>
    <x:row r="13" ht="46" customHeight="1">
      <x:c r="A13" s="81" t="str">
        <x:v>Ambiente .venv</x:v>
      </x:c>
      <x:c r="B13" s="81" t="str">
        <x:v>Quebrado</x:v>
      </x:c>
      <x:c r="C13" s="81" t="str">
        <x:v>pyvenv.cfg referencia C:\Users\Flavi... inexistente</x:v>
      </x:c>
      <x:c r="D13" s="81" t="str">
        <x:v>.venv/pyvenv.cfg</x:v>
      </x:c>
      <x:c r="E13" s="81" t="str">
        <x:v>Falhou</x:v>
      </x:c>
    </x:row>
    <x:row r="14" ht="46" customHeight="1">
      <x:c r="A14" s="81" t="str">
        <x:v>Executável Windows</x:v>
      </x:c>
      <x:c r="B14" s="81" t="str">
        <x:v>Presente</x:v>
      </x:c>
      <x:c r="C14" s="81" t="str">
        <x:v>Nutri Clinic Pro.exe gerado em 2026-08-10</x:v>
      </x:c>
      <x:c r="D14" s="81" t="str">
        <x:v>dist/Nutri Clinic Pro/Nutri Clinic Pro.exe</x:v>
      </x:c>
      <x:c r="E14" s="81" t="str">
        <x:v>Passou</x:v>
      </x:c>
    </x:row>
    <x:row r="15" ht="46" customHeight="1">
      <x:c r="A15" s="81" t="str">
        <x:v>Banco local</x:v>
      </x:c>
      <x:c r="B15" s="81" t="str">
        <x:v>Presente</x:v>
      </x:c>
      <x:c r="C15" s="81" t="str">
        <x:v>SQLite local com 208.896 bytes</x:v>
      </x:c>
      <x:c r="D15" s="81" t="str">
        <x:v>database/local/nutri_app.sqlite</x:v>
      </x:c>
      <x:c r="E15" s="81" t="str">
        <x:v>Informativo</x:v>
      </x:c>
    </x:row>
    <x:row r="16" ht="46" customHeight="1">
      <x:c r="A16" s="81" t="str">
        <x:v>Portal Web</x:v>
      </x:c>
      <x:c r="B16" s="81" t="str">
        <x:v>Estático</x:v>
      </x:c>
      <x:c r="C16" s="81" t="str">
        <x:v>Gera index.html, agenda.html, publicacoes.html e CSS</x:v>
      </x:c>
      <x:c r="D16" s="81" t="str">
        <x:v>services/web_portal.py</x:v>
      </x:c>
      <x:c r="E16" s="81" t="str">
        <x:v>Limitação</x:v>
      </x:c>
    </x:row>
    <x:row r="17" ht="46" customHeight="1">
      <x:c r="A17" s="81" t="str">
        <x:v>IA Assistiva</x:v>
      </x:c>
      <x:c r="B17" s="81" t="str">
        <x:v>Regras locais</x:v>
      </x:c>
      <x:c r="C17" s="81" t="str">
        <x:v>Não usa provedor/modelo externo</x:v>
      </x:c>
      <x:c r="D17" s="81" t="str">
        <x:v>services/ai_assistant.py</x:v>
      </x:c>
      <x:c r="E17" s="81" t="str">
        <x:v>Limitação</x:v>
      </x:c>
    </x:row>
    <x:row r="18" ht="46" customHeight="1">
      <x:c r="A18" s="81" t="str">
        <x:v>Integrações</x:v>
      </x:c>
      <x:c r="B18" s="81" t="str">
        <x:v>Simuladas</x:v>
      </x:c>
      <x:c r="C18" s="81" t="str">
        <x:v>simulate_sync apenas retorna mensagem; parser JSON é local</x:v>
      </x:c>
      <x:c r="D18" s="81" t="str">
        <x:v>services/integration.py</x:v>
      </x:c>
      <x:c r="E18" s="81" t="str">
        <x:v>Limitação</x:v>
      </x:c>
    </x:row>
    <x:row r="19" ht="46" customHeight="1">
      <x:c r="A19" s="81" t="str">
        <x:v>Testes de interface/E2E</x:v>
      </x:c>
      <x:c r="B19" s="81" t="n">
        <x:v>0</x:v>
      </x:c>
      <x:c r="C19" s="81" t="str">
        <x:v>Nenhum teste Qt/end-to-end identificado</x:v>
      </x:c>
      <x:c r="D19" s="81" t="str">
        <x:v>tests</x:v>
      </x:c>
      <x:c r="E19" s="81" t="str">
        <x:v>Lacuna</x:v>
      </x:c>
    </x:row>
    <x:row r="20" ht="46" customHeight="1">
      <x:c r="A20" s="81" t="str">
        <x:v>CI</x:v>
      </x:c>
      <x:c r="B20" s="81" t="str">
        <x:v>Ausente</x:v>
      </x:c>
      <x:c r="C20" s="81" t="str">
        <x:v>Nenhum workflow .github ou pipeline YAML identificado</x:v>
      </x:c>
      <x:c r="D20" s="81" t="str">
        <x:v>raiz do projeto</x:v>
      </x:c>
      <x:c r="E20" s="81" t="str">
        <x:v>Lacuna</x:v>
      </x:c>
    </x:row>
    <x:row r="21" ht="46" customHeight="1">
      <x:c r="A21" s="82" t="str">
        <x:v>Backlog explícito</x:v>
      </x:c>
      <x:c r="B21" s="82" t="n">
        <x:v>1</x:v>
      </x:c>
      <x:c r="C21" s="82" t="str">
        <x:v>Evolução gráfica permanece sem marca de conclusão</x:v>
      </x:c>
      <x:c r="D21" s="82" t="str">
        <x:v>docs/backlog_mvp.md:27</x:v>
      </x:c>
      <x:c r="E21" s="82" t="str">
        <x:v>Lacuna</x:v>
      </x:c>
    </x:row>
  </x:sheetData>
  <x:conditionalFormatting sqref="E2:E21">
    <x:cfRule type="containsText" dxfId="8" priority="1" operator="containsText" text="Passou"/>
    <x:cfRule type="containsText" dxfId="9" priority="2" operator="containsText" text="Falhou"/>
    <x:cfRule type="containsText" dxfId="10" priority="3" operator="containsText" text="Lacuna"/>
    <x:cfRule type="containsText" dxfId="11" priority="4" operator="containsText" text="Atenção"/>
  </x:conditionalFormatting>
  <x:pageMargins left="0.7" right="0.7" top="0.75" bottom="0.75" header="0.3" footer="0.3"/>
  <x:tableParts count="1">
    <x:tablePart xmlns:r="http://schemas.openxmlformats.org/officeDocument/2006/relationships" r:id="Rc22fd3e082014c1b"/>
  </x:tableParts>
</x:worksheet>
</file>