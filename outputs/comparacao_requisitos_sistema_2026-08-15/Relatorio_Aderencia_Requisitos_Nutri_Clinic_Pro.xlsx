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e143d496d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5d70a7af48440f4"/>
    <x:sheet xmlns:r="http://schemas.openxmlformats.org/officeDocument/2006/relationships" name="Modulos" sheetId="2" r:id="R5712a3ba0cdb4c02"/>
    <x:sheet xmlns:r="http://schemas.openxmlformats.org/officeDocument/2006/relationships" name="Requisitos" sheetId="3" r:id="R4576e39c19de4630"/>
    <x:sheet xmlns:r="http://schemas.openxmlformats.org/officeDocument/2006/relationships" name="Pendencias" sheetId="4" r:id="R2629e6eee74342bb"/>
    <x:sheet xmlns:r="http://schemas.openxmlformats.org/officeDocument/2006/relationships" name="Evidencias" sheetId="5" r:id="Rbd699a92e42a4b87"/>
    <x:sheet xmlns:r="http://schemas.openxmlformats.org/officeDocument/2006/relationships" name="Metodologia" sheetId="6" r:id="R457750431590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10">
    <x:font>
      <x:sz val="11"/>
      <x:name val="Carlito"/>
    </x:font>
    <x:font>
      <x:sz val="10"/>
      <x:color rgb="FF1E2933"/>
      <x:name val="Aptos"/>
    </x:font>
    <x:font>
      <x:b/>
      <x:sz val="18"/>
      <x:color rgb="FFFFFFFF"/>
      <x:name val="Aptos"/>
    </x:font>
    <x:font>
      <x:i/>
      <x:sz val="10"/>
      <x:color rgb="FF17324D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b/>
      <x:sz val="12"/>
      <x:color rgb="FF167D73"/>
      <x:name val="Aptos"/>
    </x:font>
    <x:font>
      <x:sz val="11"/>
      <x:color rgb="FF17324D"/>
      <x:name val="Aptos"/>
    </x:font>
    <x:font>
      <x:sz val="10"/>
      <x:color rgb="FF5C4813"/>
      <x:name val="Aptos"/>
    </x:font>
    <x:font>
      <x:b/>
      <x:sz val="10"/>
      <x:color rgb="FF167D7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167D73"/>
      </x:patternFill>
    </x:fill>
    <x:fill>
      <x:patternFill patternType="solid">
        <x:fgColor rgb="FFF3F5F7"/>
      </x:patternFill>
    </x:fill>
    <x:fill>
      <x:patternFill patternType="solid">
        <x:fgColor rgb="FFFFF9E8"/>
      </x:patternFill>
    </x:fill>
    <x:fill>
      <x:patternFill patternType="solid">
        <x:fgColor rgb="FFE8F5F2"/>
      </x:patternFill>
    </x:fill>
  </x:fills>
  <x:borders count="25">
    <x:border/>
    <x:border>
      <x:right style="thin">
        <x:color rgb="FFFFFFFF"/>
      </x:right>
    </x:border>
    <x:border>
      <x:left style="thin">
        <x:color rgb="FFFFFFFF"/>
      </x:left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top style="thin">
        <x:color rgb="FFD9E0E6"/>
      </x:top>
    </x:border>
    <x:border>
      <x:left style="thin">
        <x:color rgb="FFFFFFFF"/>
      </x:left>
      <x:right style="thin">
        <x:color rgb="FFFFFFFF"/>
      </x:right>
    </x:border>
    <x:border>
      <x:top style="thin">
        <x:color rgb="FFD9E0E6"/>
      </x:top>
    </x:border>
    <x:border>
      <x:left style="thin">
        <x:color rgb="FFD9E0E6"/>
      </x:left>
    </x:border>
    <x:border>
      <x:right style="thin">
        <x:color rgb="FFD9E0E6"/>
      </x:right>
    </x:border>
    <x:border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</x:border>
    <x:border>
      <x:left style="thin">
        <x:color rgb="FFE7D7A6"/>
      </x:left>
      <x:top style="thin">
        <x:color rgb="FFE7D7A6"/>
      </x:top>
    </x:border>
    <x:border>
      <x:top style="thin">
        <x:color rgb="FFE7D7A6"/>
      </x:top>
    </x:border>
    <x:border>
      <x:right style="thin">
        <x:color rgb="FFE7D7A6"/>
      </x:right>
      <x:top style="thin">
        <x:color rgb="FFE7D7A6"/>
      </x:top>
    </x:border>
    <x:border>
      <x:left style="thin">
        <x:color rgb="FFE7D7A6"/>
      </x:left>
    </x:border>
    <x:border>
      <x:right style="thin">
        <x:color rgb="FFE7D7A6"/>
      </x:right>
    </x:border>
    <x:border>
      <x:left style="thin">
        <x:color rgb="FFE7D7A6"/>
      </x:left>
      <x:bottom style="thin">
        <x:color rgb="FFE7D7A6"/>
      </x:bottom>
    </x:border>
    <x:border>
      <x:bottom style="thin">
        <x:color rgb="FFE7D7A6"/>
      </x:bottom>
    </x:border>
    <x:border>
      <x:right style="thin">
        <x:color rgb="FFE7D7A6"/>
      </x:right>
      <x:bottom style="thin">
        <x:color rgb="FFE7D7A6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8" xfId="0" applyNumberFormat="1" applyFont="1" applyFill="1" applyBorder="1"/>
    <x:xf numFmtId="0" fontId="7" fillId="5" borderId="10" xfId="0" applyNumberFormat="1" applyFont="1" applyFill="1" applyBorder="1"/>
    <x:xf numFmtId="0" fontId="7" fillId="5" borderId="7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4" xfId="0" applyNumberFormat="1" applyFont="1" applyFill="1" applyBorder="1"/>
    <x:xf numFmtId="0" fontId="7" fillId="5" borderId="13" xfId="0" applyNumberFormat="1" applyFont="1" applyFill="1" applyBorder="1"/>
    <x:xf numFmtId="0" fontId="7" fillId="5" borderId="3" xfId="0" applyNumberFormat="1" applyFont="1" applyFill="1" applyBorder="1"/>
    <x:xf numFmtId="0" fontId="7" fillId="5" borderId="8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2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13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/>
    <x:xf numFmtId="0" fontId="1" fillId="0" borderId="14" xfId="0" applyNumberFormat="1" applyFont="1" applyFill="1" applyBorder="1"/>
    <x:xf numFmtId="201" fontId="1" fillId="0" borderId="14" xfId="0" applyNumberFormat="1" applyFont="1" applyFill="1" applyBorder="1"/>
    <x:xf numFmtId="0" fontId="1" fillId="0" borderId="15" xfId="0" applyNumberFormat="1" applyFont="1" applyFill="1" applyBorder="1"/>
    <x:xf numFmtId="201" fontId="1" fillId="0" borderId="15" xfId="0" applyNumberFormat="1" applyFont="1" applyFill="1" applyBorder="1"/>
    <x:xf numFmtId="0" fontId="1" fillId="0" borderId="16" xfId="0" applyNumberFormat="1" applyFont="1" applyFill="1" applyBorder="1"/>
    <x:xf numFmtId="201" fontId="1" fillId="0" borderId="16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201" fontId="1" fillId="0" borderId="1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201" fontId="1" fillId="0" borderId="1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201" fontId="1" fillId="0" borderId="16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9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23" xfId="0" applyNumberFormat="1" applyFont="1" applyFill="1" applyBorder="1"/>
    <x:xf numFmtId="0" fontId="8" fillId="6" borderId="24" xfId="0" applyNumberFormat="1" applyFont="1" applyFill="1" applyBorder="1"/>
    <x:xf numFmtId="0" fontId="8" fillId="6" borderId="17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9" xfId="0" applyNumberFormat="1" applyFont="1" applyFill="1" applyBorder="1" applyAlignment="1">
      <x:alignment wrapText="1"/>
    </x:xf>
    <x:xf numFmtId="0" fontId="8" fillId="6" borderId="2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21" xfId="0" applyNumberFormat="1" applyFont="1" applyFill="1" applyBorder="1" applyAlignment="1">
      <x:alignment wrapText="1"/>
    </x:xf>
    <x:xf numFmtId="0" fontId="8" fillId="6" borderId="22" xfId="0" applyNumberFormat="1" applyFont="1" applyFill="1" applyBorder="1" applyAlignment="1">
      <x:alignment wrapText="1"/>
    </x:xf>
    <x:xf numFmtId="0" fontId="8" fillId="6" borderId="23" xfId="0" applyNumberFormat="1" applyFont="1" applyFill="1" applyBorder="1" applyAlignment="1">
      <x:alignment wrapText="1"/>
    </x:xf>
    <x:xf numFmtId="0" fontId="8" fillId="6" borderId="24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vertical="top" wrapText="1"/>
    </x:xf>
    <x:xf numFmtId="0" fontId="8" fillId="6" borderId="18" xfId="0" applyNumberFormat="1" applyFont="1" applyFill="1" applyBorder="1" applyAlignment="1">
      <x:alignment vertical="top" wrapText="1"/>
    </x:xf>
    <x:xf numFmtId="0" fontId="8" fillId="6" borderId="19" xfId="0" applyNumberFormat="1" applyFont="1" applyFill="1" applyBorder="1" applyAlignment="1">
      <x:alignment vertical="top" wrapText="1"/>
    </x:xf>
    <x:xf numFmtId="0" fontId="8" fillId="6" borderId="2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21" xfId="0" applyNumberFormat="1" applyFont="1" applyFill="1" applyBorder="1" applyAlignment="1">
      <x:alignment vertical="top" wrapText="1"/>
    </x:xf>
    <x:xf numFmtId="0" fontId="8" fillId="6" borderId="22" xfId="0" applyNumberFormat="1" applyFont="1" applyFill="1" applyBorder="1" applyAlignment="1">
      <x:alignment vertical="top" wrapText="1"/>
    </x:xf>
    <x:xf numFmtId="0" fontId="8" fillId="6" borderId="23" xfId="0" applyNumberFormat="1" applyFont="1" applyFill="1" applyBorder="1" applyAlignment="1">
      <x:alignment vertical="top" wrapText="1"/>
    </x:xf>
    <x:xf numFmtId="0" fontId="8" fillId="6" borderId="24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vertical="top" wrapText="1"/>
    </x:xf>
    <x:xf numFmtId="0" fontId="9" fillId="7" borderId="3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b/>
        <x:color rgb="FF1F7A4D"/>
      </x:font>
      <x:fill>
        <x:patternFill patternType="solid">
          <x:bgColor rgb="FFE7F4EA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F7A4D"/>
      </x:font>
      <x:fill>
        <x:patternFill patternType="solid">
          <x:bgColor rgb="FFE7F4EA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1F7A4D"/>
      </x:font>
      <x:fill>
        <x:patternFill patternType="solid">
          <x:bgColor rgb="FFE7F4EA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1F7A4D"/>
      </x:font>
      <x:fill>
        <x:patternFill patternType="solid">
          <x:bgColor rgb="FFE7F4EA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F7A4D"/>
      </x:font>
      <x:fill>
        <x:patternFill patternType="solid">
          <x:bgColor rgb="FFE7F4EA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54b933d1f47b6" /><Relationship Type="http://schemas.openxmlformats.org/officeDocument/2006/relationships/theme" Target="/xl/theme/theme1.xml" Id="R5061231efdca48e6" /><Relationship Type="http://schemas.openxmlformats.org/officeDocument/2006/relationships/sharedStrings" Target="/xl/sharedStrings.xml" Id="R2116aae4d7e94a4b" /><Relationship Type="http://schemas.openxmlformats.org/officeDocument/2006/relationships/worksheet" Target="/xl/worksheets/sheet1.xml" Id="Rf5d70a7af48440f4" /><Relationship Type="http://schemas.openxmlformats.org/officeDocument/2006/relationships/worksheet" Target="/xl/worksheets/sheet2.xml" Id="R5712a3ba0cdb4c02" /><Relationship Type="http://schemas.openxmlformats.org/officeDocument/2006/relationships/worksheet" Target="/xl/worksheets/sheet3.xml" Id="R4576e39c19de4630" /><Relationship Type="http://schemas.openxmlformats.org/officeDocument/2006/relationships/worksheet" Target="/xl/worksheets/sheet4.xml" Id="R2629e6eee74342bb" /><Relationship Type="http://schemas.openxmlformats.org/officeDocument/2006/relationships/worksheet" Target="/xl/worksheets/sheet5.xml" Id="Rbd699a92e42a4b87" /><Relationship Type="http://schemas.openxmlformats.org/officeDocument/2006/relationships/worksheet" Target="/xl/worksheets/sheet6.xml" Id="R45775043159042f0" /></Relationships>
</file>

<file path=xl/tables/table1.xml><?xml version="1.0" encoding="utf-8"?>
<x:table xmlns:x="http://schemas.openxmlformats.org/spreadsheetml/2006/main" id="1" name="ModulosAderencia" displayName="ModulosAderencia" ref="A4:J38" headerRowCount="1" totalsRowCount="0" totalsRowShown="0">
  <x:tableColumns count="10">
    <x:tableColumn id="1" name="Nº"/>
    <x:tableColumn id="2" name="Módulo"/>
    <x:tableColumn id="3" name="Status"/>
    <x:tableColumn id="4" name="Aderência"/>
    <x:tableColumn id="5" name="O que já existe"/>
    <x:tableColumn id="6" name="O que falta"/>
    <x:tableColumn id="7" name="Prioridade"/>
    <x:tableColumn id="8" name="Evidência principal"/>
    <x:tableColumn id="9" name="Confiança"/>
    <x:tableColumn id="10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rizRequisitos" displayName="MatrizRequisitos" ref="A4:J322" headerRowCount="1" totalsRowCount="0" totalsRowShown="0">
  <x:tableColumns count="10">
    <x:tableColumn id="1" name="ID"/>
    <x:tableColumn id="2" name="Tipo"/>
    <x:tableColumn id="3" name="Módulo/área"/>
    <x:tableColumn id="4" name="Requisito"/>
    <x:tableColumn id="5" name="Status"/>
    <x:tableColumn id="6" name="Peso"/>
    <x:tableColumn id="7" name="Evidência"/>
    <x:tableColumn id="8" name="Lacuna/observação"/>
    <x:tableColumn id="9" name="Prioridade"/>
    <x:tableColumn id="10" name="Confianç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enciasPrioritarias" displayName="PendenciasPrioritarias" ref="A4:H272" headerRowCount="1" totalsRowCount="0" totalsRowShown="0">
  <x:tableColumns count="8">
    <x:tableColumn id="1" name="Prioridade"/>
    <x:tableColumn id="2" name="ID"/>
    <x:tableColumn id="3" name="Módulo/área"/>
    <x:tableColumn id="4" name="Requisito"/>
    <x:tableColumn id="5" name="Status"/>
    <x:tableColumn id="6" name="O que falta"/>
    <x:tableColumn id="7" name="Evidência atual"/>
    <x:tableColumn id="8" name="Confianç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iasAnalise" displayName="EvidenciasAnalise" ref="A4:F16" headerRowCount="1" totalsRowCount="0" totalsRowShown="0">
  <x:tableColumns count="6">
    <x:tableColumn id="1" name="Área"/>
    <x:tableColumn id="2" name="Tipo"/>
    <x:tableColumn id="3" name="Fonte/evidência"/>
    <x:tableColumn id="4" name="Resultado"/>
    <x:tableColumn id="5" name="Situação"/>
    <x:tableColumn id="6" name="Limit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f7d2f5886345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a041a3c6f94a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ab85d222ab46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b1d82d690940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5" t="str">
        <x:v>Comparação de Requisitos — Nutri Clinic Pro</x:v>
      </x:c>
      <x:c r="B1" s="5"/>
      <x:c r="C1" s="5"/>
      <x:c r="D1" s="5"/>
      <x:c r="E1" s="5"/>
      <x:c r="F1" s="5"/>
      <x:c r="G1" s="5"/>
      <x:c r="H1" s="5"/>
      <x:c r="I1" s="5"/>
      <x:c r="J1" s="5"/>
      <x:c r="K1" s="1"/>
    </x:row>
    <x:row r="2" ht="3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1"/>
    </x:row>
    <x:row r="3" ht="30" customHeight="1">
      <x:c r="A3" s="9" t="str">
        <x:v>Documento consolidado versus sistema em D: | análise 2026-08-15 | sem implementação de funcionalidades</x:v>
      </x:c>
      <x:c r="B3" s="9"/>
      <x:c r="C3" s="9"/>
      <x:c r="D3" s="9"/>
      <x:c r="E3" s="9"/>
      <x:c r="F3" s="9"/>
      <x:c r="G3" s="9"/>
      <x:c r="H3" s="9"/>
      <x:c r="I3" s="9"/>
      <x:c r="J3" s="9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16" t="str">
        <x:v>Indicador</x:v>
      </x:c>
      <x:c r="B5" s="17" t="str">
        <x:v>Resultado</x:v>
      </x:c>
      <x:c r="C5" s="1"/>
      <x:c r="D5" s="16" t="str">
        <x:v>Conclusão executiva</x:v>
      </x:c>
      <x:c r="E5" s="41"/>
      <x:c r="F5" s="41"/>
      <x:c r="G5" s="41"/>
      <x:c r="H5" s="41"/>
      <x:c r="I5" s="41"/>
      <x:c r="J5" s="17"/>
      <x:c r="K5" s="1"/>
    </x:row>
    <x:row r="6">
      <x:c r="A6" s="33" t="str">
        <x:v>Requisitos auditados</x:v>
      </x:c>
      <x:c r="B6" s="36" t="n">
        <x:f>COUNTA('Requisitos'!$A$5:$A$400)</x:f>
        <x:v>318</x:v>
      </x:c>
      <x:c r="C6" s="1"/>
      <x:c r="D6" s="61" t="str">
        <x:v>O sistema possui um núcleo desktop funcional e testado, com cobertura relevante de cadastro clínico, agenda, antropometria, exames, diagnóstico, plano alimentar, alimentos, receitas, suplementos, relatórios em PDF, financeiro, permissões, auditoria, LGPD, backup criptografado, integrações HTTP/arquivo e portal local do paciente. A aderência integral ao documento ainda não foi atingida: as maiores lacunas estão na central de avaliação, exame físico clínico, recordatório alimentar, prescrição/evolução estruturadas, dietas prontas, TNE/TNP completas, protocolos dinâmicos, sessão/2FA e homologação de produção.</x:v>
      </x:c>
      <x:c r="E6" s="62"/>
      <x:c r="F6" s="62"/>
      <x:c r="G6" s="62"/>
      <x:c r="H6" s="62"/>
      <x:c r="I6" s="62"/>
      <x:c r="J6" s="63"/>
      <x:c r="K6" s="1"/>
    </x:row>
    <x:row r="7">
      <x:c r="A7" s="34" t="str">
        <x:v>Implementados</x:v>
      </x:c>
      <x:c r="B7" s="37" t="n">
        <x:f>COUNTIF('Requisitos'!$E$5:$E$400,"Implementado")</x:f>
        <x:v>50</x:v>
      </x:c>
      <x:c r="C7" s="1"/>
      <x:c r="D7" s="64"/>
      <x:c r="E7" s="65"/>
      <x:c r="F7" s="65"/>
      <x:c r="G7" s="65"/>
      <x:c r="H7" s="65"/>
      <x:c r="I7" s="65"/>
      <x:c r="J7" s="66"/>
      <x:c r="K7" s="1"/>
    </x:row>
    <x:row r="8">
      <x:c r="A8" s="34" t="str">
        <x:v>Parciais</x:v>
      </x:c>
      <x:c r="B8" s="37" t="n">
        <x:f>COUNTIF('Requisitos'!$E$5:$E$400,"Parcial")</x:f>
        <x:v>208</x:v>
      </x:c>
      <x:c r="C8" s="1"/>
      <x:c r="D8" s="64"/>
      <x:c r="E8" s="65"/>
      <x:c r="F8" s="65"/>
      <x:c r="G8" s="65"/>
      <x:c r="H8" s="65"/>
      <x:c r="I8" s="65"/>
      <x:c r="J8" s="66"/>
      <x:c r="K8" s="1"/>
    </x:row>
    <x:row r="9">
      <x:c r="A9" s="34" t="str">
        <x:v>Não identificados</x:v>
      </x:c>
      <x:c r="B9" s="37" t="n">
        <x:f>COUNTIF('Requisitos'!$E$5:$E$400,"Não identificado")</x:f>
        <x:v>60</x:v>
      </x:c>
      <x:c r="C9" s="1"/>
      <x:c r="D9" s="64"/>
      <x:c r="E9" s="65"/>
      <x:c r="F9" s="65"/>
      <x:c r="G9" s="65"/>
      <x:c r="H9" s="65"/>
      <x:c r="I9" s="65"/>
      <x:c r="J9" s="66"/>
      <x:c r="K9" s="1"/>
    </x:row>
    <x:row r="10">
      <x:c r="A10" s="34" t="str">
        <x:v>Aderência ponderada</x:v>
      </x:c>
      <x:c r="B10" s="38" t="n">
        <x:f>SUM('Requisitos'!$F$5:$F$400)/B6</x:f>
        <x:v>0.48427672955974843</x:v>
      </x:c>
      <x:c r="C10" s="1"/>
      <x:c r="D10" s="67"/>
      <x:c r="E10" s="68"/>
      <x:c r="F10" s="68"/>
      <x:c r="G10" s="68"/>
      <x:c r="H10" s="68"/>
      <x:c r="I10" s="68"/>
      <x:c r="J10" s="69"/>
      <x:c r="K10" s="1"/>
    </x:row>
    <x:row r="11">
      <x:c r="A11" s="34" t="str">
        <x:v>Módulos avaliados</x:v>
      </x:c>
      <x:c r="B11" s="37" t="n">
        <x:f>COUNTA('Modulos'!$A$5:$A$50)</x:f>
        <x:v>34</x:v>
      </x:c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30" customHeight="1">
      <x:c r="A12" s="34" t="str">
        <x:v>Testes automatizados</x:v>
      </x:c>
      <x:c r="B12" s="29" t="str">
        <x:v>83 aprovados em 10,27 s</x:v>
      </x:c>
      <x:c r="C12" s="1"/>
      <x:c r="D12" s="16" t="str">
        <x:v>Status</x:v>
      </x:c>
      <x:c r="E12" s="41" t="str">
        <x:v>Quantidade</x:v>
      </x:c>
      <x:c r="F12" s="41" t="str">
        <x:v>Peso</x:v>
      </x:c>
      <x:c r="G12" s="17" t="str">
        <x:v>Leitura</x:v>
      </x:c>
      <x:c r="H12" s="1"/>
      <x:c r="I12" s="1"/>
      <x:c r="J12" s="1"/>
      <x:c r="K12" s="1"/>
    </x:row>
    <x:row r="13">
      <x:c r="A13" s="34" t="str">
        <x:v>Cobertura de testes</x:v>
      </x:c>
      <x:c r="B13" s="29" t="str">
        <x:v>64% de cobertura total</x:v>
      </x:c>
      <x:c r="C13" s="1"/>
      <x:c r="D13" s="77" t="str">
        <x:v>Implementado</x:v>
      </x:c>
      <x:c r="E13" s="78" t="n">
        <x:f>B7</x:f>
        <x:v>50</x:v>
      </x:c>
      <x:c r="F13" s="79" t="n">
        <x:v>1</x:v>
      </x:c>
      <x:c r="G13" s="80" t="str">
        <x:v>Evidência suficiente no escopo atual</x:v>
      </x:c>
      <x:c r="H13" s="1"/>
      <x:c r="I13" s="1"/>
      <x:c r="J13" s="1"/>
      <x:c r="K13" s="1"/>
    </x:row>
    <x:row r="14">
      <x:c r="A14" s="35" t="str">
        <x:v>Lint</x:v>
      </x:c>
      <x:c r="B14" s="32" t="str">
        <x:v>Ruff sem ocorrências</x:v>
      </x:c>
      <x:c r="C14" s="1"/>
      <x:c r="D14" s="81" t="str">
        <x:v>Parcial</x:v>
      </x:c>
      <x:c r="E14" s="82" t="n">
        <x:f>B8</x:f>
        <x:v>208</x:v>
      </x:c>
      <x:c r="F14" s="83" t="n">
        <x:v>0.5</x:v>
      </x:c>
      <x:c r="G14" s="84" t="str">
        <x:v>Há base funcional, mas o requisito não está completo</x:v>
      </x:c>
      <x:c r="H14" s="1"/>
      <x:c r="I14" s="1"/>
      <x:c r="J14" s="1"/>
      <x:c r="K14" s="1"/>
    </x:row>
    <x:row r="15">
      <x:c r="A15" s="1"/>
      <x:c r="B15" s="1"/>
      <x:c r="C15" s="1"/>
      <x:c r="D15" s="85" t="str">
        <x:v>Não identificado</x:v>
      </x:c>
      <x:c r="E15" s="86" t="n">
        <x:f>B9</x:f>
        <x:v>60</x:v>
      </x:c>
      <x:c r="F15" s="87" t="n">
        <x:v>0</x:v>
      </x:c>
      <x:c r="G15" s="88" t="str">
        <x:v>Não foi encontrada evidência suficiente no repositório</x:v>
      </x:c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30" customHeight="1">
      <x:c r="A17" s="16" t="str">
        <x:v>Base técnica</x:v>
      </x:c>
      <x:c r="B17" s="17" t="str">
        <x:v>Resultado</x:v>
      </x:c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30" customHeight="1">
      <x:c r="A18" s="77" t="str">
        <x:v>Inventário</x:v>
      </x:c>
      <x:c r="B18" s="80" t="str">
        <x:v>125 arquivos Python; 31 arquivos de teste; 21 migrações; 34 tabelas no snapshot; 26 páginas de UI</x:v>
      </x:c>
      <x:c r="C18" s="1"/>
      <x:c r="D18" s="16" t="str">
        <x:v>Principais lacunas antes de considerar aderência integral</x:v>
      </x:c>
      <x:c r="E18" s="41"/>
      <x:c r="F18" s="41"/>
      <x:c r="G18" s="41"/>
      <x:c r="H18" s="41"/>
      <x:c r="I18" s="41"/>
      <x:c r="J18" s="17"/>
      <x:c r="K18" s="1"/>
    </x:row>
    <x:row r="19">
      <x:c r="A19" s="81" t="str">
        <x:v>Commit</x:v>
      </x:c>
      <x:c r="B19" s="84" t="str">
        <x:v>a877e45 (workspace com alterações não commitadas incluídas)</x:v>
      </x:c>
      <x:c r="C19" s="1"/>
      <x:c r="D19" s="108" t="str">
        <x:v>P0 — clínica e produção: validar formalmente protocolos/fórmulas; criar prescrição e evolução clínicas versionadas; completar exame físico, recordatório, TNE/TNP e necessidades; fortalecer sessões, 2FA, escopos e trilha imutável; homologar backup/restauração, integrações e portal em ambiente real.
P1 — produto: central de avaliação, calendário e lembretes, comparativo multisséries, biblioteca de orientações, indicadores configuráveis, PDF/modelos avançados, pacotes financeiros e integrações externas completas.
P2 — expansão: dietas prontas e recursos profissionais avançados de receitas.</x:v>
      </x:c>
      <x:c r="E19" s="109"/>
      <x:c r="F19" s="109"/>
      <x:c r="G19" s="109"/>
      <x:c r="H19" s="109"/>
      <x:c r="I19" s="109"/>
      <x:c r="J19" s="110"/>
      <x:c r="K19" s="1"/>
    </x:row>
    <x:row r="20">
      <x:c r="A20" s="81" t="str">
        <x:v>Documento SHA-256</x:v>
      </x:c>
      <x:c r="B20" s="84" t="str">
        <x:v>D7337859C944B9C9A1B6D9E39665C3075532E3C2B95FF79B1CB0A495ED195587</x:v>
      </x:c>
      <x:c r="C20" s="1"/>
      <x:c r="D20" s="111"/>
      <x:c r="E20" s="112"/>
      <x:c r="F20" s="112"/>
      <x:c r="G20" s="112"/>
      <x:c r="H20" s="112"/>
      <x:c r="I20" s="112"/>
      <x:c r="J20" s="113"/>
      <x:c r="K20" s="1"/>
    </x:row>
    <x:row r="21">
      <x:c r="A21" s="85" t="str">
        <x:v>Observação</x:v>
      </x:c>
      <x:c r="B21" s="88" t="str">
        <x:v>A análise inclui alterações locais ainda não commitadas.</x:v>
      </x:c>
      <x:c r="C21" s="1"/>
      <x:c r="D21" s="111"/>
      <x:c r="E21" s="112"/>
      <x:c r="F21" s="112"/>
      <x:c r="G21" s="112"/>
      <x:c r="H21" s="112"/>
      <x:c r="I21" s="112"/>
      <x:c r="J21" s="113"/>
      <x:c r="K21" s="1"/>
    </x:row>
    <x:row r="22">
      <x:c r="A22" s="1"/>
      <x:c r="B22" s="1"/>
      <x:c r="C22" s="1"/>
      <x:c r="D22" s="111"/>
      <x:c r="E22" s="112"/>
      <x:c r="F22" s="112"/>
      <x:c r="G22" s="112"/>
      <x:c r="H22" s="112"/>
      <x:c r="I22" s="112"/>
      <x:c r="J22" s="113"/>
      <x:c r="K22" s="1"/>
    </x:row>
    <x:row r="23">
      <x:c r="A23" s="1"/>
      <x:c r="B23" s="1"/>
      <x:c r="C23" s="1"/>
      <x:c r="D23" s="111"/>
      <x:c r="E23" s="112"/>
      <x:c r="F23" s="112"/>
      <x:c r="G23" s="112"/>
      <x:c r="H23" s="112"/>
      <x:c r="I23" s="112"/>
      <x:c r="J23" s="113"/>
      <x:c r="K23" s="1"/>
    </x:row>
    <x:row r="24">
      <x:c r="A24" s="1"/>
      <x:c r="B24" s="1"/>
      <x:c r="C24" s="1"/>
      <x:c r="D24" s="111"/>
      <x:c r="E24" s="112"/>
      <x:c r="F24" s="112"/>
      <x:c r="G24" s="112"/>
      <x:c r="H24" s="112"/>
      <x:c r="I24" s="112"/>
      <x:c r="J24" s="113"/>
      <x:c r="K24" s="1"/>
    </x:row>
    <x:row r="25">
      <x:c r="A25" s="1"/>
      <x:c r="B25" s="1"/>
      <x:c r="C25" s="1"/>
      <x:c r="D25" s="114"/>
      <x:c r="E25" s="115"/>
      <x:c r="F25" s="115"/>
      <x:c r="G25" s="115"/>
      <x:c r="H25" s="115"/>
      <x:c r="I25" s="115"/>
      <x:c r="J25" s="116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</x:row>
  </x:sheetData>
  <x:mergeCells>
    <x:mergeCell ref="A1:J2"/>
    <x:mergeCell ref="A3:J3"/>
    <x:mergeCell ref="D5:J5"/>
    <x:mergeCell ref="D6:J10"/>
    <x:mergeCell ref="D18:J18"/>
    <x:mergeCell ref="D19:J25"/>
  </x:mergeCells>
  <x:conditionalFormatting sqref="D13:D15">
    <x:cfRule type="containsText" dxfId="0" priority="1" operator="containsText" text="Implementado"/>
    <x:cfRule type="containsText" dxfId="1" priority="2" operator="containsText" text="Parcial"/>
    <x:cfRule type="containsText" dxfId="2" priority="3" operator="containsText" text="Não identificad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0" hidden="0" customWidth="1"/>
    <x:col min="3" max="3" width="16" hidden="0" customWidth="1"/>
    <x:col min="4" max="4" width="11" hidden="0" customWidth="1"/>
    <x:col min="5" max="5" width="52" hidden="0" customWidth="1"/>
    <x:col min="6" max="6" width="56" hidden="0" customWidth="1"/>
    <x:col min="7" max="7" width="11" hidden="0" customWidth="1"/>
    <x:col min="8" max="8" width="48" hidden="0" customWidth="1"/>
    <x:col min="9" max="9" width="13" hidden="0" customWidth="1"/>
    <x:col min="10" max="10" width="35" hidden="0" customWidth="1"/>
  </x:cols>
  <x:sheetData>
    <x:row r="1" ht="34" customHeight="1">
      <x:c r="A1" s="5" t="str">
        <x:v>Aderência por módulo</x:v>
      </x:c>
      <x:c r="B1" s="5"/>
      <x:c r="C1" s="5"/>
      <x:c r="D1" s="5"/>
      <x:c r="E1" s="5"/>
      <x:c r="F1" s="5"/>
      <x:c r="G1" s="5"/>
      <x:c r="H1" s="5"/>
      <x:c r="I1" s="5"/>
      <x:c r="J1" s="5"/>
      <x:c r="K1" s="1"/>
    </x:row>
    <x:row r="2" ht="3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1"/>
    </x:row>
    <x:row r="3" ht="30" customHeight="1">
      <x:c r="A3" s="9" t="str">
        <x:v>Resumo executivo dos 34 módulos do documento, com evidência e lacuna principal.</x:v>
      </x:c>
      <x:c r="B3" s="9"/>
      <x:c r="C3" s="9"/>
      <x:c r="D3" s="9"/>
      <x:c r="E3" s="9"/>
      <x:c r="F3" s="9"/>
      <x:c r="G3" s="9"/>
      <x:c r="H3" s="9"/>
      <x:c r="I3" s="9"/>
      <x:c r="J3" s="9"/>
      <x:c r="K3" s="1"/>
    </x:row>
    <x:row r="4" ht="15" hidden="0" customHeight="1">
      <x:c r="A4" s="16" t="str">
        <x:v>Nº</x:v>
      </x:c>
      <x:c r="B4" s="41" t="str">
        <x:v>Módulo</x:v>
      </x:c>
      <x:c r="C4" s="41" t="str">
        <x:v>Status</x:v>
      </x:c>
      <x:c r="D4" s="41" t="str">
        <x:v>Aderência</x:v>
      </x:c>
      <x:c r="E4" s="41" t="str">
        <x:v>O que já existe</x:v>
      </x:c>
      <x:c r="F4" s="41" t="str">
        <x:v>O que falta</x:v>
      </x:c>
      <x:c r="G4" s="41" t="str">
        <x:v>Prioridade</x:v>
      </x:c>
      <x:c r="H4" s="41" t="str">
        <x:v>Evidência principal</x:v>
      </x:c>
      <x:c r="I4" s="41" t="str">
        <x:v>Confiança</x:v>
      </x:c>
      <x:c r="J4" s="17" t="str">
        <x:v>Observação</x:v>
      </x:c>
      <x:c r="K4" s="1"/>
    </x:row>
    <x:row r="5" ht="36" hidden="0" customHeight="1">
      <x:c r="A5" s="119" t="n">
        <x:v>1</x:v>
      </x:c>
      <x:c r="B5" s="119" t="str">
        <x:v>DASHBOARD (CENTRO DE COMANDO)</x:v>
      </x:c>
      <x:c r="C5" s="119" t="str">
        <x:v>Parcial</x:v>
      </x:c>
      <x:c r="D5" s="120" t="n">
        <x:v>0.65</x:v>
      </x:c>
      <x:c r="E5" s="119" t="str">
        <x:v>Dashboard com indicadores reais, alertas recentes, próximas consultas e gráficos longitudinais de peso, IMC, gordura, adesão e alertas laboratoriais.</x:v>
      </x:c>
      <x:c r="F5" s="119" t="str">
        <x:v>Faltam filtros por unidade/ala/profissional/período, atalhos clínicos e cartões plenamente clicáveis.</x:v>
      </x:c>
      <x:c r="G5" s="119" t="str">
        <x:v>P1</x:v>
      </x:c>
      <x:c r="H5" s="119" t="str">
        <x:v>src/nutri_app/ui/pages/dashboard_page.py; src/nutri_app/repositories/dashboard_repository.py; tests/test_dashboard_repository.py</x:v>
      </x:c>
      <x:c r="I5" s="119" t="str">
        <x:v>Média/Alta</x:v>
      </x:c>
      <x:c r="J5" s="119" t="str">
        <x:v>Classificação por evidência de código e testes; não equivale a homologação clínica.</x:v>
      </x:c>
      <x:c r="K5" s="1"/>
    </x:row>
    <x:row r="6" ht="48" hidden="0" customHeight="1">
      <x:c r="A6" s="119" t="n">
        <x:v>2</x:v>
      </x:c>
      <x:c r="B6" s="119" t="str">
        <x:v>PACIENTES (PRONTUÁRIO E INTERNAÇÕES)</x:v>
      </x:c>
      <x:c r="C6" s="119" t="str">
        <x:v>Parcial</x:v>
      </x:c>
      <x:c r="D6" s="120" t="n">
        <x:v>0.55</x:v>
      </x:c>
      <x:c r="E6" s="119" t="str">
        <x:v>CRUD de pacientes, busca, exclusão lógica, consentimento LGPD, portabilidade e anonimização controlada.</x:v>
      </x:c>
      <x:c r="F6" s="119" t="str">
        <x:v>Faltam prontuário/internação estruturados, unidade/leito/equipe, campos completos de identidade, unicidade de CPF/CNS e ações rápidas.</x:v>
      </x:c>
      <x:c r="G6" s="119" t="str">
        <x:v>P0</x:v>
      </x:c>
      <x:c r="H6" s="119" t="str">
        <x:v>src/nutri_app/ui/pages/patients_page.py; src/nutri_app/repositories/patient_repository.py; src/nutri_app/services/privacy.py; tests/test_patient_repository.py; tests/test_privacy.py</x:v>
      </x:c>
      <x:c r="I6" s="119" t="str">
        <x:v>Média/Alta</x:v>
      </x:c>
      <x:c r="J6" s="119" t="str">
        <x:v>Classificação por evidência de código e testes; não equivale a homologação clínica.</x:v>
      </x:c>
      <x:c r="K6" s="1"/>
    </x:row>
    <x:row r="7" ht="24" hidden="0" customHeight="1">
      <x:c r="A7" s="119" t="n">
        <x:v>3</x:v>
      </x:c>
      <x:c r="B7" s="119" t="str">
        <x:v>AVALIAÇÃO NUTRICIONAL (CENTRAL AGRUPADORA)</x:v>
      </x:c>
      <x:c r="C7" s="119" t="str">
        <x:v>Parcial</x:v>
      </x:c>
      <x:c r="D7" s="120" t="n">
        <x:v>0.25</x:v>
      </x:c>
      <x:c r="E7" s="119" t="str">
        <x:v>Os componentes da avaliação existem em módulos separados e compartilham paciente/consulta no banco.</x:v>
      </x:c>
      <x:c r="F7" s="119" t="str">
        <x:v>Não há central única de avaliação com cards, progresso, rascunho automático, finalização, assinatura, versão e adendo.</x:v>
      </x:c>
      <x:c r="G7" s="119" t="str">
        <x:v>P1</x:v>
      </x:c>
      <x:c r="H7" s="119" t="str">
        <x:v>src/nutri_app/ui/main_window.py; database/schema.sql</x:v>
      </x:c>
      <x:c r="I7" s="119" t="str">
        <x:v>Média/Alta</x:v>
      </x:c>
      <x:c r="J7" s="119" t="str">
        <x:v>Classificação por evidência de código e testes; não equivale a homologação clínica.</x:v>
      </x:c>
      <x:c r="K7" s="1"/>
    </x:row>
    <x:row r="8" ht="48" hidden="0" customHeight="1">
      <x:c r="A8" s="119" t="n">
        <x:v>4</x:v>
      </x:c>
      <x:c r="B8" s="119" t="str">
        <x:v>ANAMNESE</x:v>
      </x:c>
      <x:c r="C8" s="119" t="str">
        <x:v>Parcial</x:v>
      </x:c>
      <x:c r="D8" s="120" t="n">
        <x:v>0.65</x:v>
      </x:c>
      <x:c r="E8" s="119" t="str">
        <x:v>Anamnese estruturada por seções, persistência por paciente/consulta, resumo automático e perfis avançados.</x:v>
      </x:c>
      <x:c r="F8" s="119" t="str">
        <x:v>Faltam dados clínicos estruturados mais completos, interações, reações/alergias com destaque transversal e lógica condicional versionada.</x:v>
      </x:c>
      <x:c r="G8" s="119" t="str">
        <x:v>P0</x:v>
      </x:c>
      <x:c r="H8" s="119" t="str">
        <x:v>src/nutri_app/ui/anamnesis_form.py; src/nutri_app/ui/pages/anamnesis_page.py; src/nutri_app/repositories/anamnesis_repository.py; tests/test_anamnesis_repository.py</x:v>
      </x:c>
      <x:c r="I8" s="119" t="str">
        <x:v>Média/Alta</x:v>
      </x:c>
      <x:c r="J8" s="119" t="str">
        <x:v>Classificação por evidência de código e testes; não equivale a homologação clínica.</x:v>
      </x:c>
      <x:c r="K8" s="1"/>
    </x:row>
    <x:row r="9" ht="60" hidden="0" customHeight="1">
      <x:c r="A9" s="119" t="n">
        <x:v>5</x:v>
      </x:c>
      <x:c r="B9" s="119" t="str">
        <x:v>AVALIAÇÃO ANTROPOMÉTRICA</x:v>
      </x:c>
      <x:c r="C9" s="119" t="str">
        <x:v>Parcial</x:v>
      </x:c>
      <x:c r="D9" s="120" t="n">
        <x:v>0.72</x:v>
      </x:c>
      <x:c r="E9" s="119" t="str">
        <x:v>Antropometria, composição corporal, IMC/RCQ/RCEst, índices avançados e séries longitudinais estão implementados.</x:v>
      </x:c>
      <x:c r="F9" s="119" t="str">
        <x:v>Faltam metadados de método/equipamento/lado, bioimpedância bruta completa e governança/memória versionada de todas as fórmulas.</x:v>
      </x:c>
      <x:c r="G9" s="119" t="str">
        <x:v>P0</x:v>
      </x:c>
      <x:c r="H9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I9" s="119" t="str">
        <x:v>Média/Alta</x:v>
      </x:c>
      <x:c r="J9" s="119" t="str">
        <x:v>Classificação por evidência de código e testes; não equivale a homologação clínica.</x:v>
      </x:c>
      <x:c r="K9" s="1"/>
    </x:row>
    <x:row r="10" ht="36" hidden="0" customHeight="1">
      <x:c r="A10" s="119" t="n">
        <x:v>6</x:v>
      </x:c>
      <x:c r="B10" s="119" t="str">
        <x:v>AVALIAÇÃO CLÍNICA</x:v>
      </x:c>
      <x:c r="C10" s="119" t="str">
        <x:v>Parcial</x:v>
      </x:c>
      <x:c r="D10" s="120" t="n">
        <x:v>0.28</x:v>
      </x:c>
      <x:c r="E10" s="119" t="str">
        <x:v>Há regras avançadas para NFPE, sarcopenia, fragilidade e achados clínicos genéricos.</x:v>
      </x:c>
      <x:c r="F10" s="119" t="str">
        <x:v>Falta módulo dedicado de exame físico nutricional com regiões anatômicas, estados semânticos, imagens, comparação e vínculo formal com diagnóstico/evolução.</x:v>
      </x:c>
      <x:c r="G10" s="119" t="str">
        <x:v>P0</x:v>
      </x:c>
      <x:c r="H10" s="119" t="str">
        <x:v>src/nutri_app/services/advanced_clinical.py; src/nutri_app/ui/pages/advanced_module_page.py</x:v>
      </x:c>
      <x:c r="I10" s="119" t="str">
        <x:v>Média/Alta</x:v>
      </x:c>
      <x:c r="J10" s="119" t="str">
        <x:v>Classificação por evidência de código e testes; não equivale a homologação clínica.</x:v>
      </x:c>
      <x:c r="K10" s="1"/>
    </x:row>
    <x:row r="11" ht="48" hidden="0" customHeight="1">
      <x:c r="A11" s="119" t="n">
        <x:v>7</x:v>
      </x:c>
      <x:c r="B11" s="119" t="str">
        <x:v>EXAMES LABORATORIAIS</x:v>
      </x:c>
      <x:c r="C11" s="119" t="str">
        <x:v>Parcial</x:v>
      </x:c>
      <x:c r="D11" s="120" t="n">
        <x:v>0.62</x:v>
      </x:c>
      <x:c r="E11" s="119" t="str">
        <x:v>Cadastro de exames e itens, unidades/referências, alertas, importação JSON e integração HTTP/arquivo; gráficos de alertas laboratoriais.</x:v>
      </x:c>
      <x:c r="F11" s="119" t="str">
        <x:v>Faltam painéis completos, anexos, referências versionadas por perfil, deduplicação robusta e correções por nova versão imutável.</x:v>
      </x:c>
      <x:c r="G11" s="119" t="str">
        <x:v>P0</x:v>
      </x:c>
      <x:c r="H11" s="119" t="str">
        <x:v>src/nutri_app/ui/pages/laboratory_exams_page.py; src/nutri_app/repositories/laboratory_exam_repository.py; src/nutri_app/services/integration.py; tests/test_laboratory_exam.py; tests/test_integrations.py</x:v>
      </x:c>
      <x:c r="I11" s="119" t="str">
        <x:v>Média/Alta</x:v>
      </x:c>
      <x:c r="J11" s="119" t="str">
        <x:v>Classificação por evidência de código e testes; não equivale a homologação clínica.</x:v>
      </x:c>
      <x:c r="K11" s="1"/>
    </x:row>
    <x:row r="12" ht="24" hidden="0" customHeight="1">
      <x:c r="A12" s="119" t="n">
        <x:v>8</x:v>
      </x:c>
      <x:c r="B12" s="119" t="str">
        <x:v>AVALIAÇÃO DIETÉTICA</x:v>
      </x:c>
      <x:c r="C12" s="119" t="str">
        <x:v>Parcial</x:v>
      </x:c>
      <x:c r="D12" s="120" t="n">
        <x:v>0.35</x:v>
      </x:c>
      <x:c r="E12" s="119" t="str">
        <x:v>Rotina, comportamento e sintomas alimentares são registrados na anamnese.</x:v>
      </x:c>
      <x:c r="F12" s="119" t="str">
        <x:v>Não há módulo dietético próprio com frequência por grupos, aceitação hospitalar e resumo qualitativo estruturado.</x:v>
      </x:c>
      <x:c r="G12" s="119" t="str">
        <x:v>P1</x:v>
      </x:c>
      <x:c r="H12" s="119" t="str">
        <x:v>src/nutri_app/ui/anamnesis_form.py; database/schema.sql</x:v>
      </x:c>
      <x:c r="I12" s="119" t="str">
        <x:v>Média/Alta</x:v>
      </x:c>
      <x:c r="J12" s="119" t="str">
        <x:v>Classificação por evidência de código e testes; não equivale a homologação clínica.</x:v>
      </x:c>
      <x:c r="K12" s="1"/>
    </x:row>
    <x:row r="13" ht="24" hidden="0" customHeight="1">
      <x:c r="A13" s="119" t="n">
        <x:v>9</x:v>
      </x:c>
      <x:c r="B13" s="119" t="str">
        <x:v>RECORDATÓRIO ALIMENTAR</x:v>
      </x:c>
      <x:c r="C13" s="119" t="str">
        <x:v>Não identificado</x:v>
      </x:c>
      <x:c r="D13" s="120" t="n">
        <x:v>0.05</x:v>
      </x:c>
      <x:c r="E13" s="119" t="str">
        <x:v>Banco de alimentos e planos oferecem componentes reutilizáveis.</x:v>
      </x:c>
      <x:c r="F13" s="119" t="str">
        <x:v>Não foi identificado recordatório alimentar de 24/48/72 h, consumo efetivo, sobras, sintomas e comparação com metas.</x:v>
      </x:c>
      <x:c r="G13" s="119" t="str">
        <x:v>P1</x:v>
      </x:c>
      <x:c r="H13" s="119" t="str">
        <x:v>src/nutri_app/ui/main_window.py; database/schema.sql</x:v>
      </x:c>
      <x:c r="I13" s="119" t="str">
        <x:v>Média/Alta</x:v>
      </x:c>
      <x:c r="J13" s="119" t="str">
        <x:v>Classificação por evidência de código e testes; não equivale a homologação clínica.</x:v>
      </x:c>
      <x:c r="K13" s="1"/>
    </x:row>
    <x:row r="14" ht="36" hidden="0" customHeight="1">
      <x:c r="A14" s="119" t="n">
        <x:v>10</x:v>
      </x:c>
      <x:c r="B14" s="119" t="str">
        <x:v>GASTO ENERGÉTICO</x:v>
      </x:c>
      <x:c r="C14" s="119" t="str">
        <x:v>Parcial</x:v>
      </x:c>
      <x:c r="D14" s="120" t="n">
        <x:v>0.78</x:v>
      </x:c>
      <x:c r="E14" s="119" t="str">
        <x:v>Múltiplas equações, fatores, comparação de métodos, metas de macronutrientes e memória de cálculo estão implementados.</x:v>
      </x:c>
      <x:c r="F14" s="119" t="str">
        <x:v>Faltam Penn State/regra de bolso configurável, rastreio completo da origem do peso e aprovação formal de todas as versões clínicas.</x:v>
      </x:c>
      <x:c r="G14" s="119" t="str">
        <x:v>P0</x:v>
      </x:c>
      <x:c r="H14" s="119" t="str">
        <x:v>src/nutri_app/services/energy_expenditure.py; src/nutri_app/ui/pages/energy_expenditure_page.py; tests/test_energy_expenditure.py; tests/test_clinical_validation.py</x:v>
      </x:c>
      <x:c r="I14" s="119" t="str">
        <x:v>Média/Alta</x:v>
      </x:c>
      <x:c r="J14" s="119" t="str">
        <x:v>Classificação por evidência de código e testes; não equivale a homologação clínica.</x:v>
      </x:c>
      <x:c r="K14" s="1"/>
    </x:row>
    <x:row r="15" ht="24" hidden="0" customHeight="1">
      <x:c r="A15" s="119" t="n">
        <x:v>11</x:v>
      </x:c>
      <x:c r="B15" s="119" t="str">
        <x:v>NECESSIDADES NUTRICIONAIS</x:v>
      </x:c>
      <x:c r="C15" s="119" t="str">
        <x:v>Parcial</x:v>
      </x:c>
      <x:c r="D15" s="120" t="n">
        <x:v>0.58</x:v>
      </x:c>
      <x:c r="E15" s="119" t="str">
        <x:v>Metas energéticas e de macronutrientes alimentam gasto energético e plano alimentar.</x:v>
      </x:c>
      <x:c r="F15" s="119" t="str">
        <x:v>Faltam módulo próprio, metas hídricas/micronutrientes completas, vias terapêuticas e comparativo meta versus prescrito versus consumido.</x:v>
      </x:c>
      <x:c r="G15" s="119" t="str">
        <x:v>P0</x:v>
      </x:c>
      <x:c r="H15" s="119" t="str">
        <x:v>src/nutri_app/services/energy_expenditure.py; src/nutri_app/services/meal_plan.py; database/schema.sql</x:v>
      </x:c>
      <x:c r="I15" s="119" t="str">
        <x:v>Média/Alta</x:v>
      </x:c>
      <x:c r="J15" s="119" t="str">
        <x:v>Classificação por evidência de código e testes; não equivale a homologação clínica.</x:v>
      </x:c>
      <x:c r="K15" s="1"/>
    </x:row>
    <x:row r="16" ht="48" hidden="0" customHeight="1">
      <x:c r="A16" s="119" t="n">
        <x:v>12</x:v>
      </x:c>
      <x:c r="B16" s="119" t="str">
        <x:v>DIAGNÓSTICO NUTRICIONAL</x:v>
      </x:c>
      <x:c r="C16" s="119" t="str">
        <x:v>Parcial</x:v>
      </x:c>
      <x:c r="D16" s="120" t="n">
        <x:v>0.62</x:v>
      </x:c>
      <x:c r="E16" s="119" t="str">
        <x:v>Diagnóstico com protocolo, critérios, classificação, gravidade, confirmação e histórico; matriz clínica e governança existem.</x:v>
      </x:c>
      <x:c r="F16" s="119" t="str">
        <x:v>Faltam PES completo, vínculos automáticos abrangentes, estados ativo/resolvido/substituído e aprovação de todas as terminologias.</x:v>
      </x:c>
      <x:c r="G16" s="119" t="str">
        <x:v>P0</x:v>
      </x:c>
      <x:c r="H16" s="119" t="str">
        <x:v>src/nutri_app/ui/pages/nutrition_diagnosis_page.py; src/nutri_app/services/nutrition_diagnosis.py; src/nutri_app/services/clinical_validation.py; tests/test_nutrition_diagnosis.py</x:v>
      </x:c>
      <x:c r="I16" s="119" t="str">
        <x:v>Média/Alta</x:v>
      </x:c>
      <x:c r="J16" s="119" t="str">
        <x:v>Classificação por evidência de código e testes; não equivale a homologação clínica.</x:v>
      </x:c>
      <x:c r="K16" s="1"/>
    </x:row>
    <x:row r="17" ht="24" hidden="0" customHeight="1">
      <x:c r="A17" s="119" t="n">
        <x:v>13</x:v>
      </x:c>
      <x:c r="B17" s="119" t="str">
        <x:v>PRESCRIÇÃO NUTRICIONAL</x:v>
      </x:c>
      <x:c r="C17" s="119" t="str">
        <x:v>Parcial</x:v>
      </x:c>
      <x:c r="D17" s="120" t="n">
        <x:v>0.22</x:v>
      </x:c>
      <x:c r="E17" s="119" t="str">
        <x:v>Plano alimentar, suplementos e terapia nutricional cobrem partes da conduta.</x:v>
      </x:c>
      <x:c r="F17" s="119" t="str">
        <x:v>Não há entidade/tela de prescrição nutricional integrada, assinável, versionada e com suspensão/validade.</x:v>
      </x:c>
      <x:c r="G17" s="119" t="str">
        <x:v>P0</x:v>
      </x:c>
      <x:c r="H17" s="119" t="str">
        <x:v>database/schema.sql; src/nutri_app/ui/main_window.py</x:v>
      </x:c>
      <x:c r="I17" s="119" t="str">
        <x:v>Média/Alta</x:v>
      </x:c>
      <x:c r="J17" s="119" t="str">
        <x:v>Classificação por evidência de código e testes; não equivale a homologação clínica.</x:v>
      </x:c>
      <x:c r="K17" s="1"/>
    </x:row>
    <x:row r="18" ht="36" hidden="0" customHeight="1">
      <x:c r="A18" s="119" t="n">
        <x:v>14</x:v>
      </x:c>
      <x:c r="B18" s="119" t="str">
        <x:v>PLANO ALIMENTAR</x:v>
      </x:c>
      <x:c r="C18" s="119" t="str">
        <x:v>Parcial</x:v>
      </x:c>
      <x:c r="D18" s="120" t="n">
        <x:v>0.72</x:v>
      </x:c>
      <x:c r="E18" s="119" t="str">
        <x:v>Planos com refeições, horários, itens, substituições, metas, totais e integração com alimentos/receitas.</x:v>
      </x:c>
      <x:c r="F18" s="119" t="str">
        <x:v>Faltam micronutrientes completos, equivalências seguras, lista de compras/PDF própria, versionamento e importação formal de dietas prontas.</x:v>
      </x:c>
      <x:c r="G18" s="119" t="str">
        <x:v>P1</x:v>
      </x:c>
      <x:c r="H18" s="119" t="str">
        <x:v>src/nutri_app/ui/pages/meal_plan_page.py; src/nutri_app/repositories/meal_plan_repository.py; src/nutri_app/services/meal_plan.py; tests/test_meal_plan.py</x:v>
      </x:c>
      <x:c r="I18" s="119" t="str">
        <x:v>Média/Alta</x:v>
      </x:c>
      <x:c r="J18" s="119" t="str">
        <x:v>Classificação por evidência de código e testes; não equivale a homologação clínica.</x:v>
      </x:c>
      <x:c r="K18" s="1"/>
    </x:row>
    <x:row r="19" ht="24" hidden="0" customHeight="1">
      <x:c r="A19" s="119" t="n">
        <x:v>15</x:v>
      </x:c>
      <x:c r="B19" s="119" t="str">
        <x:v>DIETAS PRONTAS</x:v>
      </x:c>
      <x:c r="C19" s="119" t="str">
        <x:v>Não identificado</x:v>
      </x:c>
      <x:c r="D19" s="120" t="n">
        <x:v>0</x:v>
      </x:c>
      <x:c r="E19" s="119" t="str">
        <x:v>Não foi encontrado catálogo específico de dietas prontas.</x:v>
      </x:c>
      <x:c r="F19" s="119" t="str">
        <x:v>Implementar biblioteca versionada de modelos de dieta, filtros, autoria, aplicação individualizada e manual institucional.</x:v>
      </x:c>
      <x:c r="G19" s="119" t="str">
        <x:v>P2</x:v>
      </x:c>
      <x:c r="H19" s="119" t="str">
        <x:v>src/nutri_app/ui/main_window.py; database/schema.sql</x:v>
      </x:c>
      <x:c r="I19" s="119" t="str">
        <x:v>Média/Alta</x:v>
      </x:c>
      <x:c r="J19" s="119" t="str">
        <x:v>Classificação por evidência de código e testes; não equivale a homologação clínica.</x:v>
      </x:c>
      <x:c r="K19" s="1"/>
    </x:row>
    <x:row r="20" ht="36" hidden="0" customHeight="1">
      <x:c r="A20" s="119" t="n">
        <x:v>16</x:v>
      </x:c>
      <x:c r="B20" s="119" t="str">
        <x:v>BANCO DE ALIMENTOS</x:v>
      </x:c>
      <x:c r="C20" s="119" t="str">
        <x:v>Parcial</x:v>
      </x:c>
      <x:c r="D20" s="120" t="n">
        <x:v>0.6</x:v>
      </x:c>
      <x:c r="E20" s="119" t="str">
        <x:v>Banco de alimentos com fonte, porção, medidas, energia, macros, fibras, sódio, índice glicêmico e micronutrientes; busca e importação.</x:v>
      </x:c>
      <x:c r="F20" s="119" t="str">
        <x:v>Faltam integração governada com bases oficiais, licença/versão/data por valor, conflitos, sinônimos/marca e composição lipídica detalhada.</x:v>
      </x:c>
      <x:c r="G20" s="119" t="str">
        <x:v>P1</x:v>
      </x:c>
      <x:c r="H20" s="119" t="str">
        <x:v>src/nutri_app/ui/pages/food_database_page.py; src/nutri_app/repositories/food_repository.py; src/nutri_app/services/food.py; tests/test_food_database.py</x:v>
      </x:c>
      <x:c r="I20" s="119" t="str">
        <x:v>Média/Alta</x:v>
      </x:c>
      <x:c r="J20" s="119" t="str">
        <x:v>Classificação por evidência de código e testes; não equivale a homologação clínica.</x:v>
      </x:c>
      <x:c r="K20" s="1"/>
    </x:row>
    <x:row r="21" ht="36" hidden="0" customHeight="1">
      <x:c r="A21" s="119" t="n">
        <x:v>17</x:v>
      </x:c>
      <x:c r="B21" s="119" t="str">
        <x:v>RECEITAS</x:v>
      </x:c>
      <x:c r="C21" s="119" t="str">
        <x:v>Parcial</x:v>
      </x:c>
      <x:c r="D21" s="120" t="n">
        <x:v>0.62</x:v>
      </x:c>
      <x:c r="E21" s="119" t="str">
        <x:v>CRUD de receitas/ingredientes, cálculo total/porção, foto, rendimento e vínculo com banco de alimentos.</x:v>
      </x:c>
      <x:c r="F21" s="119" t="str">
        <x:v>Faltam fatores de correção/cocção/custo, alergênicos derivados, versão/autoria, ficha técnica, etiquetas e publicação profissional.</x:v>
      </x:c>
      <x:c r="G21" s="119" t="str">
        <x:v>P2</x:v>
      </x:c>
      <x:c r="H21" s="119" t="str">
        <x:v>src/nutri_app/ui/pages/recipes_page.py; src/nutri_app/repositories/recipe_repository.py; src/nutri_app/services/recipe.py; tests/test_recipes.py</x:v>
      </x:c>
      <x:c r="I21" s="119" t="str">
        <x:v>Média/Alta</x:v>
      </x:c>
      <x:c r="J21" s="119" t="str">
        <x:v>Classificação por evidência de código e testes; não equivale a homologação clínica.</x:v>
      </x:c>
      <x:c r="K21" s="1"/>
    </x:row>
    <x:row r="22" ht="24" hidden="0" customHeight="1">
      <x:c r="A22" s="119" t="n">
        <x:v>18</x:v>
      </x:c>
      <x:c r="B22" s="119" t="str">
        <x:v>SUPLEMENTAÇÃO NUTRICIONAL</x:v>
      </x:c>
      <x:c r="C22" s="119" t="str">
        <x:v>Parcial</x:v>
      </x:c>
      <x:c r="D22" s="120" t="n">
        <x:v>0.48</x:v>
      </x:c>
      <x:c r="E22" s="119" t="str">
        <x:v>Catálogo de suplementos/fórmulas com composição, fabricante, apresentação e cálculo proporcional de dose.</x:v>
      </x:c>
      <x:c r="F22" s="119" t="str">
        <x:v>Faltam prescrição por paciente, horários/duração, adesão/intercorrências, integração clínica e regras versionadas de interação/limites.</x:v>
      </x:c>
      <x:c r="G22" s="119" t="str">
        <x:v>P0</x:v>
      </x:c>
      <x:c r="H22" s="119" t="str">
        <x:v>src/nutri_app/ui/pages/supplements_page.py; src/nutri_app/services/supplement.py; tests/test_supplements.py</x:v>
      </x:c>
      <x:c r="I22" s="119" t="str">
        <x:v>Média/Alta</x:v>
      </x:c>
      <x:c r="J22" s="119" t="str">
        <x:v>Classificação por evidência de código e testes; não equivale a homologação clínica.</x:v>
      </x:c>
      <x:c r="K22" s="1"/>
    </x:row>
    <x:row r="23" ht="24" hidden="0" customHeight="1">
      <x:c r="A23" s="119" t="n">
        <x:v>19</x:v>
      </x:c>
      <x:c r="B23" s="119" t="str">
        <x:v>TERAPIA NUTRICIONAL ENTERAL (TNE)</x:v>
      </x:c>
      <x:c r="C23" s="119" t="str">
        <x:v>Parcial</x:v>
      </x:c>
      <x:c r="D23" s="120" t="n">
        <x:v>0.35</x:v>
      </x:c>
      <x:c r="E23" s="119" t="str">
        <x:v>Cálculo inicial de volume, infusão, proteína e água para terapia enteral em módulo clínico avançado.</x:v>
      </x:c>
      <x:c r="F23" s="119" t="str">
        <x:v>Faltam prescrição enteral completa, vias/métodos, evolução administrada, tolerância, intercorrências, alertas e assinatura.</x:v>
      </x:c>
      <x:c r="G23" s="119" t="str">
        <x:v>P0</x:v>
      </x:c>
      <x:c r="H23" s="119" t="str">
        <x:v>src/nutri_app/services/advanced_clinical.py; src/nutri_app/ui/pages/advanced_module_page.py</x:v>
      </x:c>
      <x:c r="I23" s="119" t="str">
        <x:v>Média/Alta</x:v>
      </x:c>
      <x:c r="J23" s="119" t="str">
        <x:v>Classificação por evidência de código e testes; não equivale a homologação clínica.</x:v>
      </x:c>
      <x:c r="K23" s="1"/>
    </x:row>
    <x:row r="24" ht="24" hidden="0" customHeight="1">
      <x:c r="A24" s="119" t="n">
        <x:v>20</x:v>
      </x:c>
      <x:c r="B24" s="119" t="str">
        <x:v>TERAPIA NUTRICIONAL PARENTERAL (TNP)</x:v>
      </x:c>
      <x:c r="C24" s="119" t="str">
        <x:v>Parcial</x:v>
      </x:c>
      <x:c r="D24" s="120" t="n">
        <x:v>0.18</x:v>
      </x:c>
      <x:c r="E24" s="119" t="str">
        <x:v>O módulo genérico de terapia registra parâmetros e cálculos básicos reutilizáveis.</x:v>
      </x:c>
      <x:c r="F24" s="119" t="str">
        <x:v>Falta fluxo específico de nutrição parenteral, composição, taxa de glicose, osmolaridade, incompatibilidades, monitoramento e dupla checagem.</x:v>
      </x:c>
      <x:c r="G24" s="119" t="str">
        <x:v>P0</x:v>
      </x:c>
      <x:c r="H24" s="119" t="str">
        <x:v>src/nutri_app/services/advanced_clinical.py; database/migrations/0019_advanced_clinical_modules.sql</x:v>
      </x:c>
      <x:c r="I24" s="119" t="str">
        <x:v>Média/Alta</x:v>
      </x:c>
      <x:c r="J24" s="119" t="str">
        <x:v>Classificação por evidência de código e testes; não equivale a homologação clínica.</x:v>
      </x:c>
      <x:c r="K24" s="1"/>
    </x:row>
    <x:row r="25" ht="36" hidden="0" customHeight="1">
      <x:c r="A25" s="119" t="n">
        <x:v>21</x:v>
      </x:c>
      <x:c r="B25" s="119" t="str">
        <x:v>AVALIAÇÃO DE RISCO NUTRICIONAL</x:v>
      </x:c>
      <x:c r="C25" s="119" t="str">
        <x:v>Parcial</x:v>
      </x:c>
      <x:c r="D25" s="120" t="n">
        <x:v>0.7</x:v>
      </x:c>
      <x:c r="E25" s="119" t="str">
        <x:v>Triagem com múltiplos protocolos, perguntas, pontuação, classificação, histórico e referências clínicas.</x:v>
      </x:c>
      <x:c r="F25" s="119" t="str">
        <x:v>Faltam STAMP, seleção automática/justificada por população, prazos/reavaliação completos, assinatura e protocolo publicado imutável.</x:v>
      </x:c>
      <x:c r="G25" s="119" t="str">
        <x:v>P0</x:v>
      </x:c>
      <x:c r="H25" s="119" t="str">
        <x:v>src/nutri_app/ui/pages/screening_page.py; src/nutri_app/services/screening.py; src/nutri_app/services/clinical_validation.py; tests/test_screening.py</x:v>
      </x:c>
      <x:c r="I25" s="119" t="str">
        <x:v>Média/Alta</x:v>
      </x:c>
      <x:c r="J25" s="119" t="str">
        <x:v>Classificação por evidência de código e testes; não equivale a homologação clínica.</x:v>
      </x:c>
      <x:c r="K25" s="1"/>
    </x:row>
    <x:row r="26" ht="36" hidden="0" customHeight="1">
      <x:c r="A26" s="119" t="n">
        <x:v>22</x:v>
      </x:c>
      <x:c r="B26" s="119" t="str">
        <x:v>EVOLUÇÃO NUTRICIONAL</x:v>
      </x:c>
      <x:c r="C26" s="119" t="str">
        <x:v>Parcial</x:v>
      </x:c>
      <x:c r="D26" s="120" t="n">
        <x:v>0.18</x:v>
      </x:c>
      <x:c r="E26" s="119" t="str">
        <x:v>Relatórios e gráficos longitudinais reutilizam dados clínicos existentes.</x:v>
      </x:c>
      <x:c r="F26" s="119" t="str">
        <x:v>Não há evolução SOAPI/narrativa como registro clínico versionado, assinado, com adendo e próxima reavaliação.</x:v>
      </x:c>
      <x:c r="G26" s="119" t="str">
        <x:v>P0</x:v>
      </x:c>
      <x:c r="H26" s="119" t="str">
        <x:v>src/nutri_app/services/report.py; src/nutri_app/repositories/dashboard_repository.py; database/schema.sql</x:v>
      </x:c>
      <x:c r="I26" s="119" t="str">
        <x:v>Média/Alta</x:v>
      </x:c>
      <x:c r="J26" s="119" t="str">
        <x:v>Classificação por evidência de código e testes; não equivale a homologação clínica.</x:v>
      </x:c>
      <x:c r="K26" s="1"/>
    </x:row>
    <x:row r="27" ht="24" hidden="0" customHeight="1">
      <x:c r="A27" s="119" t="n">
        <x:v>23</x:v>
      </x:c>
      <x:c r="B27" s="119" t="str">
        <x:v>COMPARATIVO DE AVALIAÇÕES</x:v>
      </x:c>
      <x:c r="C27" s="119" t="str">
        <x:v>Parcial</x:v>
      </x:c>
      <x:c r="D27" s="120" t="n">
        <x:v>0.42</x:v>
      </x:c>
      <x:c r="E27" s="119" t="str">
        <x:v>Dashboard exibe séries longitudinais por paciente para métricas selecionadas.</x:v>
      </x:c>
      <x:c r="F27" s="119" t="str">
        <x:v>Faltam seleção simultânea de avaliações/séries, variações absolutas/percentuais, eventos sobrepostos e navegação à origem.</x:v>
      </x:c>
      <x:c r="G27" s="119" t="str">
        <x:v>P1</x:v>
      </x:c>
      <x:c r="H27" s="119" t="str">
        <x:v>src/nutri_app/ui/pages/dashboard_page.py; src/nutri_app/repositories/dashboard_repository.py</x:v>
      </x:c>
      <x:c r="I27" s="119" t="str">
        <x:v>Média/Alta</x:v>
      </x:c>
      <x:c r="J27" s="119" t="str">
        <x:v>Classificação por evidência de código e testes; não equivale a homologação clínica.</x:v>
      </x:c>
      <x:c r="K27" s="1"/>
    </x:row>
    <x:row r="28" ht="48" hidden="0" customHeight="1">
      <x:c r="A28" s="119" t="n">
        <x:v>24</x:v>
      </x:c>
      <x:c r="B28" s="119" t="str">
        <x:v>RELATÓRIOS</x:v>
      </x:c>
      <x:c r="C28" s="119" t="str">
        <x:v>Parcial</x:v>
      </x:c>
      <x:c r="D28" s="120" t="n">
        <x:v>0.72</x:v>
      </x:c>
      <x:c r="E28" s="119" t="str">
        <x:v>Relatório clínico configurável, prévia, TXT e PDF profissional, histórico persistido e referências clínicas.</x:v>
      </x:c>
      <x:c r="F28" s="119" t="str">
        <x:v>Faltam modelos institucionais completos, CRN/assinatura, hash/versão/finalidade, mascaramento por consentimento e exportações estruturadas.</x:v>
      </x:c>
      <x:c r="G28" s="119" t="str">
        <x:v>P1</x:v>
      </x:c>
      <x:c r="H28" s="119" t="str">
        <x:v>src/nutri_app/ui/pages/reports_page.py; src/nutri_app/services/report.py; src/nutri_app/repositories/report_repository.py; tests/test_reports.py</x:v>
      </x:c>
      <x:c r="I28" s="119" t="str">
        <x:v>Média/Alta</x:v>
      </x:c>
      <x:c r="J28" s="119" t="str">
        <x:v>Classificação por evidência de código e testes; não equivale a homologação clínica.</x:v>
      </x:c>
      <x:c r="K28" s="1"/>
    </x:row>
    <x:row r="29" ht="24" hidden="0" customHeight="1">
      <x:c r="A29" s="119" t="n">
        <x:v>25</x:v>
      </x:c>
      <x:c r="B29" s="119" t="str">
        <x:v>ORIENTAÇÕES NUTRICIONAIS</x:v>
      </x:c>
      <x:c r="C29" s="119" t="str">
        <x:v>Parcial</x:v>
      </x:c>
      <x:c r="D29" s="120" t="n">
        <x:v>0.2</x:v>
      </x:c>
      <x:c r="E29" s="119" t="str">
        <x:v>O sistema permite publicar conteúdos textuais autorizados no canal do paciente.</x:v>
      </x:c>
      <x:c r="F29" s="119" t="str">
        <x:v>Falta biblioteca/editor de orientações, modelos, imagens autorizadas, revisão clínica, versão, validade e comprovante de leitura.</x:v>
      </x:c>
      <x:c r="G29" s="119" t="str">
        <x:v>P1</x:v>
      </x:c>
      <x:c r="H29" s="119" t="str">
        <x:v>src/nutri_app/ui/pages/patient_app_page.py; src/nutri_app/repositories/patient_app_repository.py</x:v>
      </x:c>
      <x:c r="I29" s="119" t="str">
        <x:v>Média/Alta</x:v>
      </x:c>
      <x:c r="J29" s="119" t="str">
        <x:v>Classificação por evidência de código e testes; não equivale a homologação clínica.</x:v>
      </x:c>
      <x:c r="K29" s="1"/>
    </x:row>
    <x:row r="30" ht="48" hidden="0" customHeight="1">
      <x:c r="A30" s="119" t="n">
        <x:v>26</x:v>
      </x:c>
      <x:c r="B30" s="119" t="str">
        <x:v>PROTOCOLOS</x:v>
      </x:c>
      <x:c r="C30" s="119" t="str">
        <x:v>Parcial</x:v>
      </x:c>
      <x:c r="D30" s="120" t="n">
        <x:v>0.58</x:v>
      </x:c>
      <x:c r="E30" s="119" t="str">
        <x:v>Cadastro de referências clínicas com módulo, regra, versão, fonte, aprovação/rejeição e bloqueio de release por pendência.</x:v>
      </x:c>
      <x:c r="F30" s="119" t="str">
        <x:v>Falta cadastro dinâmico integral dos protocolos, parâmetros/fórmulas/casos de referência, comparação de versões e publicação imutável aos módulos.</x:v>
      </x:c>
      <x:c r="G30" s="119" t="str">
        <x:v>P0</x:v>
      </x:c>
      <x:c r="H30" s="119" t="str">
        <x:v>src/nutri_app/ui/pages/clinical_governance_page.py; src/nutri_app/repositories/clinical_governance_repository.py; database/migrations/0021_security_governance.sql; src/nutri_app/services/release.py</x:v>
      </x:c>
      <x:c r="I30" s="119" t="str">
        <x:v>Média/Alta</x:v>
      </x:c>
      <x:c r="J30" s="119" t="str">
        <x:v>Classificação por evidência de código e testes; não equivale a homologação clínica.</x:v>
      </x:c>
      <x:c r="K30" s="1"/>
    </x:row>
    <x:row r="31" ht="24" hidden="0" customHeight="1">
      <x:c r="A31" s="119" t="n">
        <x:v>27</x:v>
      </x:c>
      <x:c r="B31" s="119" t="str">
        <x:v>INDICADORES</x:v>
      </x:c>
      <x:c r="C31" s="119" t="str">
        <x:v>Parcial</x:v>
      </x:c>
      <x:c r="D31" s="120" t="n">
        <x:v>0.45</x:v>
      </x:c>
      <x:c r="E31" s="119" t="str">
        <x:v>Indicadores operacionais, alertas, próximos atendimentos e gráficos clínicos usam dados reais.</x:v>
      </x:c>
      <x:c r="F31" s="119" t="str">
        <x:v>Faltam catálogo de indicadores, fórmulas auditáveis, filtros amplos, metas e indicadores TNE/TNP/produtividade/qualidade.</x:v>
      </x:c>
      <x:c r="G31" s="119" t="str">
        <x:v>P1</x:v>
      </x:c>
      <x:c r="H31" s="119" t="str">
        <x:v>src/nutri_app/repositories/dashboard_repository.py; src/nutri_app/ui/pages/dashboard_page.py</x:v>
      </x:c>
      <x:c r="I31" s="119" t="str">
        <x:v>Média/Alta</x:v>
      </x:c>
      <x:c r="J31" s="119" t="str">
        <x:v>Classificação por evidência de código e testes; não equivale a homologação clínica.</x:v>
      </x:c>
      <x:c r="K31" s="1"/>
    </x:row>
    <x:row r="32" ht="48" hidden="0" customHeight="1">
      <x:c r="A32" s="119" t="n">
        <x:v>28</x:v>
      </x:c>
      <x:c r="B32" s="119" t="str">
        <x:v>CONFIGURAÇÕES</x:v>
      </x:c>
      <x:c r="C32" s="119" t="str">
        <x:v>Parcial</x:v>
      </x:c>
      <x:c r="D32" s="120" t="n">
        <x:v>0.58</x:v>
      </x:c>
      <x:c r="E32" s="119" t="str">
        <x:v>Configurações persistidas, backup manual/automático criptografado, retenção, restauração, checksum, integrações e auditoria.</x:v>
      </x:c>
      <x:c r="F32" s="119" t="str">
        <x:v>Faltam configuração institucional completa, temas/modelos, canais reais, painel de serviços e confirmação reforçada uniforme.</x:v>
      </x:c>
      <x:c r="G32" s="119" t="str">
        <x:v>P0</x:v>
      </x:c>
      <x:c r="H32" s="119" t="str">
        <x:v>src/nutri_app/ui/pages/settings_page.py; src/nutri_app/services/backup.py; src/nutri_app/services/automatic_backup.py; tests/test_backup_security.py</x:v>
      </x:c>
      <x:c r="I32" s="119" t="str">
        <x:v>Média/Alta</x:v>
      </x:c>
      <x:c r="J32" s="119" t="str">
        <x:v>Classificação por evidência de código e testes; não equivale a homologação clínica.</x:v>
      </x:c>
      <x:c r="K32" s="1"/>
    </x:row>
    <x:row r="33" ht="36" hidden="0" customHeight="1">
      <x:c r="A33" s="119" t="n">
        <x:v>29</x:v>
      </x:c>
      <x:c r="B33" s="119" t="str">
        <x:v>USUÁRIOS E PERMISSÕES</x:v>
      </x:c>
      <x:c r="C33" s="119" t="str">
        <x:v>Parcial</x:v>
      </x:c>
      <x:c r="D33" s="120" t="n">
        <x:v>0.62</x:v>
      </x:c>
      <x:c r="E33" s="119" t="str">
        <x:v>Usuários, perfis, permissões por módulo/ação, senha forte, troca inicial, bloqueio temporário e logs de acesso/alteração.</x:v>
      </x:c>
      <x:c r="F33" s="119" t="str">
        <x:v>Faltam perfis/escopos configuráveis completos, recuperação, 2FA, expiração/revogação de sessão, dispositivos e exportação filtrada de auditoria.</x:v>
      </x:c>
      <x:c r="G33" s="119" t="str">
        <x:v>P0</x:v>
      </x:c>
      <x:c r="H33" s="119" t="str">
        <x:v>src/nutri_app/services/auth.py; src/nutri_app/services/security.py; src/nutri_app/repositories/user_repository.py; src/nutri_app/repositories/audit_repository.py; tests/test_auth.py</x:v>
      </x:c>
      <x:c r="I33" s="119" t="str">
        <x:v>Média/Alta</x:v>
      </x:c>
      <x:c r="J33" s="119" t="str">
        <x:v>Classificação por evidência de código e testes; não equivale a homologação clínica.</x:v>
      </x:c>
      <x:c r="K33" s="1"/>
    </x:row>
    <x:row r="34" ht="48" hidden="0" customHeight="1">
      <x:c r="A34" s="119" t="n">
        <x:v>30</x:v>
      </x:c>
      <x:c r="B34" s="119" t="str">
        <x:v>IA NUTRICIONAL ASSISTIVA</x:v>
      </x:c>
      <x:c r="C34" s="119" t="str">
        <x:v>Parcial</x:v>
      </x:c>
      <x:c r="D34" s="120" t="n">
        <x:v>0.58</x:v>
      </x:c>
      <x:c r="E34" s="119" t="str">
        <x:v>Assistente local por regras resume dados, sugere itens revisáveis, explica alertas e registra solicitação/resultado.</x:v>
      </x:c>
      <x:c r="F34" s="119" t="str">
        <x:v>Não há provedor externo, gestão de modelo/versão completa nem avaliação contínua de vieses, erros e impacto clínico.</x:v>
      </x:c>
      <x:c r="G34" s="119" t="str">
        <x:v>P1</x:v>
      </x:c>
      <x:c r="H34" s="119" t="str">
        <x:v>src/nutri_app/ui/pages/ai_assistant_page.py; src/nutri_app/services/ai_assistant.py; src/nutri_app/repositories/ai_assistant_repository.py; tests/test_ai_assistant.py</x:v>
      </x:c>
      <x:c r="I34" s="119" t="str">
        <x:v>Média/Alta</x:v>
      </x:c>
      <x:c r="J34" s="119" t="str">
        <x:v>Classificação por evidência de código e testes; não equivale a homologação clínica.</x:v>
      </x:c>
      <x:c r="K34" s="1"/>
    </x:row>
    <x:row r="35" ht="36" hidden="0" customHeight="1">
      <x:c r="A35" s="119" t="n">
        <x:v>31</x:v>
      </x:c>
      <x:c r="B35" s="119" t="str">
        <x:v>AGENDA</x:v>
      </x:c>
      <x:c r="C35" s="119" t="str">
        <x:v>Parcial</x:v>
      </x:c>
      <x:c r="D35" s="120" t="n">
        <x:v>0.52</x:v>
      </x:c>
      <x:c r="E35" s="119" t="str">
        <x:v>Agenda com consultas/retornos, paciente, data/hora, tipo, status, observações, filtros e auditoria.</x:v>
      </x:c>
      <x:c r="F35" s="119" t="str">
        <x:v>Faltam visões calendário diária/semanal/mensal, duração/local/modalidade/valor completos, recorrência, conflitos, espera, lembretes e calendário externo.</x:v>
      </x:c>
      <x:c r="G35" s="119" t="str">
        <x:v>P1</x:v>
      </x:c>
      <x:c r="H35" s="119" t="str">
        <x:v>src/nutri_app/ui/pages/appointments_page.py; src/nutri_app/repositories/appointment_repository.py; tests/test_appointment_repository.py</x:v>
      </x:c>
      <x:c r="I35" s="119" t="str">
        <x:v>Média/Alta</x:v>
      </x:c>
      <x:c r="J35" s="119" t="str">
        <x:v>Classificação por evidência de código e testes; não equivale a homologação clínica.</x:v>
      </x:c>
      <x:c r="K35" s="1"/>
    </x:row>
    <x:row r="36" ht="36" hidden="0" customHeight="1">
      <x:c r="A36" s="119" t="n">
        <x:v>32</x:v>
      </x:c>
      <x:c r="B36" s="119" t="str">
        <x:v>FINANCEIRO</x:v>
      </x:c>
      <x:c r="C36" s="119" t="str">
        <x:v>Parcial</x:v>
      </x:c>
      <x:c r="D36" s="120" t="n">
        <x:v>0.58</x:v>
      </x:c>
      <x:c r="E36" s="119" t="str">
        <x:v>Receitas/despesas, categoria, vencimento, pagamento, forma, status, vínculo com paciente/consulta e resumo financeiro.</x:v>
      </x:c>
      <x:c r="F36" s="119" t="str">
        <x:v>Faltam centro/competência separados, profissional/serviço/pacotes/assinaturas/parcelas, conciliação, exportação e comprovantes.</x:v>
      </x:c>
      <x:c r="G36" s="119" t="str">
        <x:v>P1</x:v>
      </x:c>
      <x:c r="H36" s="119" t="str">
        <x:v>src/nutri_app/ui/pages/finance_page.py; src/nutri_app/repositories/finance_repository.py; src/nutri_app/services/finance.py; tests/test_finance.py</x:v>
      </x:c>
      <x:c r="I36" s="119" t="str">
        <x:v>Média/Alta</x:v>
      </x:c>
      <x:c r="J36" s="119" t="str">
        <x:v>Classificação por evidência de código e testes; não equivale a homologação clínica.</x:v>
      </x:c>
      <x:c r="K36" s="1"/>
    </x:row>
    <x:row r="37" ht="48" hidden="0" customHeight="1">
      <x:c r="A37" s="119" t="n">
        <x:v>33</x:v>
      </x:c>
      <x:c r="B37" s="119" t="str">
        <x:v>PORTAL DO PACIENTE</x:v>
      </x:c>
      <x:c r="C37" s="119" t="str">
        <x:v>Parcial</x:v>
      </x:c>
      <x:c r="D37" s="120" t="n">
        <x:v>0.48</x:v>
      </x:c>
      <x:c r="E37" s="119" t="str">
        <x:v>Portal local autenticado por código, token bearer, publicações autorizadas e registro de adesão; interface HTML e teste de aplicação.</x:v>
      </x:c>
      <x:c r="F37" s="119" t="str">
        <x:v>Faltam senha/recuperação/termos robustos, expiração e revogação de sessões, agenda/documentos completos, uploads, mensagens, notificações e dispositivos.</x:v>
      </x:c>
      <x:c r="G37" s="119" t="str">
        <x:v>P0</x:v>
      </x:c>
      <x:c r="H37" s="119" t="str">
        <x:v>src/nutri_app/services/patient_portal_server.py; src/nutri_app/ui/resources/patient_portal.html; tests/test_patient_portal_server.py; src/nutri_app/ui/pages/patient_app_page.py</x:v>
      </x:c>
      <x:c r="I37" s="119" t="str">
        <x:v>Média/Alta</x:v>
      </x:c>
      <x:c r="J37" s="119" t="str">
        <x:v>Classificação por evidência de código e testes; não equivale a homologação clínica.</x:v>
      </x:c>
      <x:c r="K37" s="1"/>
    </x:row>
    <x:row r="38" ht="48" hidden="0" customHeight="1">
      <x:c r="A38" s="119" t="n">
        <x:v>34</x:v>
      </x:c>
      <x:c r="B38" s="119" t="str">
        <x:v>ADMINISTRAÇÃO</x:v>
      </x:c>
      <x:c r="C38" s="119" t="str">
        <x:v>Parcial</x:v>
      </x:c>
      <x:c r="D38" s="120" t="n">
        <x:v>0.57</x:v>
      </x:c>
      <x:c r="E38" s="119" t="str">
        <x:v>Administração distribuída em usuários, configurações, governança clínica, integrações, LGPD e checklist de implantação/release.</x:v>
      </x:c>
      <x:c r="F38" s="119" t="str">
        <x:v>Falta painel administrativo unificado, monitoramento de banco/filas/falhas, fluxos de aprovação e exportação administrativa/auditoria completa.</x:v>
      </x:c>
      <x:c r="G38" s="119" t="str">
        <x:v>P0</x:v>
      </x:c>
      <x:c r="H38" s="119" t="str">
        <x:v>src/nutri_app/ui/pages/users_page.py; src/nutri_app/ui/pages/settings_page.py; src/nutri_app/ui/pages/deployment_page.py; src/nutri_app/ui/pages/clinical_governance_page.py</x:v>
      </x:c>
      <x:c r="I38" s="119" t="str">
        <x:v>Média/Alta</x:v>
      </x:c>
      <x:c r="J38" s="119" t="str">
        <x:v>Classificação por evidência de código e testes; não equivale a homologação clínica.</x:v>
      </x:c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</x:row>
  </x:sheetData>
  <x:mergeCells>
    <x:mergeCell ref="A1:J2"/>
    <x:mergeCell ref="A3:J3"/>
  </x:mergeCells>
  <x:conditionalFormatting sqref="C5:C38">
    <x:cfRule type="containsText" dxfId="3" priority="1" operator="containsText" text="Implementado"/>
    <x:cfRule type="containsText" dxfId="4" priority="2" operator="containsText" text="Parcial"/>
    <x:cfRule type="containsText" dxfId="5" priority="3" operator="containsText" text="Não identificado"/>
  </x:conditionalFormatting>
  <x:conditionalFormatting sqref="G5:G38">
    <x:cfRule type="containsText" dxfId="6" priority="4" operator="containsText" text="P0"/>
    <x:cfRule type="containsText" dxfId="7" priority="5" operator="containsText" text="P1"/>
    <x:cfRule type="containsText" dxfId="8" priority="6" operator="containsText" text="P2"/>
  </x:conditionalFormatting>
  <x:dataValidations count="2">
    <x:dataValidation type="list" sqref="C5:C38">
      <x:formula1>"Implementado,Parcial,Não identificado"</x:formula1>
    </x:dataValidation>
    <x:dataValidation type="list" sqref="G5:G38">
      <x:formula1>"P0,P1,P2,—"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f7d2f5886345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30" hidden="0" customWidth="1"/>
    <x:col min="4" max="4" width="72" hidden="0" customWidth="1"/>
    <x:col min="5" max="5" width="18" hidden="0" customWidth="1"/>
    <x:col min="6" max="6" width="9" hidden="0" customWidth="1"/>
    <x:col min="7" max="7" width="58" hidden="0" customWidth="1"/>
    <x:col min="8" max="8" width="64" hidden="0" customWidth="1"/>
    <x:col min="9" max="9" width="11" hidden="0" customWidth="1"/>
    <x:col min="10" max="10" width="12" hidden="0" customWidth="1"/>
  </x:cols>
  <x:sheetData>
    <x:row r="1" ht="34" customHeight="1">
      <x:c r="A1" s="5" t="str">
        <x:v>Matriz detalhada de requisitos</x:v>
      </x:c>
      <x:c r="B1" s="5"/>
      <x:c r="C1" s="5"/>
      <x:c r="D1" s="5"/>
      <x:c r="E1" s="5"/>
      <x:c r="F1" s="5"/>
      <x:c r="G1" s="5"/>
      <x:c r="H1" s="5"/>
      <x:c r="I1" s="5"/>
      <x:c r="J1" s="5"/>
      <x:c r="K1" s="1"/>
    </x:row>
    <x:row r="2" ht="3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1"/>
    </x:row>
    <x:row r="3" ht="30" customHeight="1">
      <x:c r="A3" s="9" t="str">
        <x:v>Cada requisito do documento foi confrontado com código, banco, UI e testes. Status editáveis para revisão da equipe.</x:v>
      </x:c>
      <x:c r="B3" s="9"/>
      <x:c r="C3" s="9"/>
      <x:c r="D3" s="9"/>
      <x:c r="E3" s="9"/>
      <x:c r="F3" s="9"/>
      <x:c r="G3" s="9"/>
      <x:c r="H3" s="9"/>
      <x:c r="I3" s="9"/>
      <x:c r="J3" s="9"/>
      <x:c r="K3" s="1"/>
    </x:row>
    <x:row r="4" ht="15" hidden="0" customHeight="1">
      <x:c r="A4" s="16" t="str">
        <x:v>ID</x:v>
      </x:c>
      <x:c r="B4" s="41" t="str">
        <x:v>Tipo</x:v>
      </x:c>
      <x:c r="C4" s="41" t="str">
        <x:v>Módulo/área</x:v>
      </x:c>
      <x:c r="D4" s="41" t="str">
        <x:v>Requisito</x:v>
      </x:c>
      <x:c r="E4" s="41" t="str">
        <x:v>Status</x:v>
      </x:c>
      <x:c r="F4" s="41" t="str">
        <x:v>Peso</x:v>
      </x:c>
      <x:c r="G4" s="41" t="str">
        <x:v>Evidência</x:v>
      </x:c>
      <x:c r="H4" s="41" t="str">
        <x:v>Lacuna/observação</x:v>
      </x:c>
      <x:c r="I4" s="41" t="str">
        <x:v>Prioridade</x:v>
      </x:c>
      <x:c r="J4" s="17" t="str">
        <x:v>Confiança</x:v>
      </x:c>
      <x:c r="K4" s="1"/>
    </x:row>
    <x:row r="5" ht="24" hidden="0" customHeight="1">
      <x:c r="A5" s="119" t="str">
        <x:v>DIR-01</x:v>
      </x:c>
      <x:c r="B5" s="119" t="str">
        <x:v>Diretriz</x:v>
      </x:c>
      <x:c r="C5" s="119" t="str">
        <x:v>Arquitetura e interação</x:v>
      </x:c>
      <x:c r="D5" s="119" t="str">
        <x:v>Arquitetura modular: cada módulo possui responsabilidade própria e integra-se por serviços/repositórios ou API, sem bancos paralelos.</x:v>
      </x:c>
      <x:c r="E5" s="119" t="str">
        <x:v>Implementado</x:v>
      </x:c>
      <x:c r="F5" s="120" t="n">
        <x:f>IF(E5="Implementado",1,IF(E5="Parcial",0.5,0))</x:f>
        <x:v>1</x:v>
      </x:c>
      <x:c r="G5" s="119" t="str">
        <x:v>src/nutri_app/app; src/nutri_app/domain; src/nutri_app/services; src/nutri_app/repositories</x:v>
      </x:c>
      <x:c r="H5" s="119" t="str">
        <x:v>Cobertura identificada no escopo atual.</x:v>
      </x:c>
      <x:c r="I5" s="119" t="str">
        <x:v>P1</x:v>
      </x:c>
      <x:c r="J5" s="119" t="str">
        <x:v>Alta</x:v>
      </x:c>
      <x:c r="K5" s="1"/>
    </x:row>
    <x:row r="6" ht="24" hidden="0" customHeight="1">
      <x:c r="A6" s="119" t="str">
        <x:v>DIR-02</x:v>
      </x:c>
      <x:c r="B6" s="119" t="str">
        <x:v>Diretriz</x:v>
      </x:c>
      <x:c r="C6" s="119" t="str">
        <x:v>Arquitetura e interação</x:v>
      </x:c>
      <x:c r="D6" s="119" t="str">
        <x:v>Contexto do paciente: paciente_id, episódio/atendimento e avaliação ativos permanecem disponíveis em todos os módulos autorizados.</x:v>
      </x:c>
      <x:c r="E6" s="119" t="str">
        <x:v>Parcial</x:v>
      </x:c>
      <x:c r="F6" s="120" t="n">
        <x:f>IF(E6="Implementado",1,IF(E6="Parcial",0.5,0))</x:f>
        <x:v>0.5</x:v>
      </x:c>
      <x:c r="G6" s="119" t="str">
        <x:v>database/schema.sql; src/nutri_app/ui/main_window.py</x:v>
      </x:c>
      <x:c r="H6" s="119" t="str">
        <x:v>A diretriz está parcialmente coberta e precisa de validação transversal.</x:v>
      </x:c>
      <x:c r="I6" s="119" t="str">
        <x:v>P1</x:v>
      </x:c>
      <x:c r="J6" s="119" t="str">
        <x:v>Média</x:v>
      </x:c>
      <x:c r="K6" s="1"/>
    </x:row>
    <x:row r="7" ht="24" hidden="0" customHeight="1">
      <x:c r="A7" s="119" t="str">
        <x:v>DIR-03</x:v>
      </x:c>
      <x:c r="B7" s="119" t="str">
        <x:v>Diretriz</x:v>
      </x:c>
      <x:c r="C7" s="119" t="str">
        <x:v>Arquitetura e interação</x:v>
      </x:c>
      <x:c r="D7" s="119" t="str">
        <x:v>Navegação: menu hierárquico por fluxo de trabalho, busca global, breadcrumb, atalhos e retorno ao prontuário sem perda de dados.</x:v>
      </x:c>
      <x:c r="E7" s="119" t="str">
        <x:v>Implementado</x:v>
      </x:c>
      <x:c r="F7" s="120" t="n">
        <x:f>IF(E7="Implementado",1,IF(E7="Parcial",0.5,0))</x:f>
        <x:v>1</x:v>
      </x:c>
      <x:c r="G7" s="119" t="str">
        <x:v>src/nutri_app/ui/main_window.py; src/nutri_app/repositories/user_repository.py</x:v>
      </x:c>
      <x:c r="H7" s="119" t="str">
        <x:v>Cobertura identificada no escopo atual.</x:v>
      </x:c>
      <x:c r="I7" s="119" t="str">
        <x:v>P1</x:v>
      </x:c>
      <x:c r="J7" s="119" t="str">
        <x:v>Alta</x:v>
      </x:c>
      <x:c r="K7" s="1"/>
    </x:row>
    <x:row r="8" ht="24" hidden="0" customHeight="1">
      <x:c r="A8" s="119" t="str">
        <x:v>DIR-04</x:v>
      </x:c>
      <x:c r="B8" s="119" t="str">
        <x:v>Diretriz</x:v>
      </x:c>
      <x:c r="C8" s="119" t="str">
        <x:v>Arquitetura e interação</x:v>
      </x:c>
      <x:c r="D8" s="119" t="str">
        <x:v>Responsividade: desktop, tablet e portal web devem reorganizar cards, listas e formulários sem ocultar ações essenciais.</x:v>
      </x:c>
      <x:c r="E8" s="119" t="str">
        <x:v>Parcial</x:v>
      </x:c>
      <x:c r="F8" s="120" t="n">
        <x:f>IF(E8="Implementado",1,IF(E8="Parcial",0.5,0))</x:f>
        <x:v>0.5</x:v>
      </x:c>
      <x:c r="G8" s="119" t="str">
        <x:v>src/nutri_app/ui; src/nutri_app/services/patient_portal_server.py</x:v>
      </x:c>
      <x:c r="H8" s="119" t="str">
        <x:v>A diretriz está parcialmente coberta e precisa de validação transversal.</x:v>
      </x:c>
      <x:c r="I8" s="119" t="str">
        <x:v>P1</x:v>
      </x:c>
      <x:c r="J8" s="119" t="str">
        <x:v>Média</x:v>
      </x:c>
      <x:c r="K8" s="1"/>
    </x:row>
    <x:row r="9" ht="24" hidden="0" customHeight="1">
      <x:c r="A9" s="119" t="str">
        <x:v>DIR-05</x:v>
      </x:c>
      <x:c r="B9" s="119" t="str">
        <x:v>Diretriz</x:v>
      </x:c>
      <x:c r="C9" s="119" t="str">
        <x:v>Arquitetura e interação</x:v>
      </x:c>
      <x:c r="D9" s="119" t="str">
        <x:v>Persistência: autosalvamento de rascunho, confirmação de ações críticas, versionamento e exclusão lógica.</x:v>
      </x:c>
      <x:c r="E9" s="119" t="str">
        <x:v>Parcial</x:v>
      </x:c>
      <x:c r="F9" s="120" t="n">
        <x:f>IF(E9="Implementado",1,IF(E9="Parcial",0.5,0))</x:f>
        <x:v>0.5</x:v>
      </x:c>
      <x:c r="G9" s="119" t="str">
        <x:v>database/schema.sql; src/nutri_app/repositories/audit_repository.py</x:v>
      </x:c>
      <x:c r="H9" s="119" t="str">
        <x:v>A diretriz está parcialmente coberta e precisa de validação transversal.</x:v>
      </x:c>
      <x:c r="I9" s="119" t="str">
        <x:v>P1</x:v>
      </x:c>
      <x:c r="J9" s="119" t="str">
        <x:v>Média</x:v>
      </x:c>
      <x:c r="K9" s="1"/>
    </x:row>
    <x:row r="10" ht="24" hidden="0" customHeight="1">
      <x:c r="A10" s="119" t="str">
        <x:v>DIR-06</x:v>
      </x:c>
      <x:c r="B10" s="119" t="str">
        <x:v>Diretriz</x:v>
      </x:c>
      <x:c r="C10" s="119" t="str">
        <x:v>Arquitetura e interação</x:v>
      </x:c>
      <x:c r="D10" s="119" t="str">
        <x:v>Interoperabilidade: integrações por API/arquivos devem validar esquema, autenticação, idempotência, repetição controlada e falhas.</x:v>
      </x:c>
      <x:c r="E10" s="119" t="str">
        <x:v>Parcial</x:v>
      </x:c>
      <x:c r="F10" s="120" t="n">
        <x:f>IF(E10="Implementado",1,IF(E10="Parcial",0.5,0))</x:f>
        <x:v>0.5</x:v>
      </x:c>
      <x:c r="G10" s="119" t="str">
        <x:v>src/nutri_app/services/integration.py; tests/test_integrations.py</x:v>
      </x:c>
      <x:c r="H10" s="119" t="str">
        <x:v>A diretriz está parcialmente coberta e precisa de validação transversal.</x:v>
      </x:c>
      <x:c r="I10" s="119" t="str">
        <x:v>P1</x:v>
      </x:c>
      <x:c r="J10" s="119" t="str">
        <x:v>Média</x:v>
      </x:c>
      <x:c r="K10" s="1"/>
    </x:row>
    <x:row r="11" ht="24" hidden="0" customHeight="1">
      <x:c r="A11" s="119" t="str">
        <x:v>DIR-07</x:v>
      </x:c>
      <x:c r="B11" s="119" t="str">
        <x:v>Diretriz</x:v>
      </x:c>
      <x:c r="C11" s="119" t="str">
        <x:v>Arquitetura e interação</x:v>
      </x:c>
      <x:c r="D11" s="119" t="str">
        <x:v>Governança: fórmulas, faixas, protocolos e conteúdos clínicos são versionados, possuem fonte e exigem aprovação antes da produção.</x:v>
      </x:c>
      <x:c r="E11" s="119" t="str">
        <x:v>Parcial</x:v>
      </x:c>
      <x:c r="F11" s="120" t="n">
        <x:f>IF(E11="Implementado",1,IF(E11="Parcial",0.5,0))</x:f>
        <x:v>0.5</x:v>
      </x:c>
      <x:c r="G11" s="119" t="str">
        <x:v>src/nutri_app/services/clinical_validation.py; src/nutri_app/ui/pages/clinical_governance_page.py</x:v>
      </x:c>
      <x:c r="H11" s="119" t="str">
        <x:v>A diretriz está parcialmente coberta e precisa de validação transversal.</x:v>
      </x:c>
      <x:c r="I11" s="119" t="str">
        <x:v>P1</x:v>
      </x:c>
      <x:c r="J11" s="119" t="str">
        <x:v>Média</x:v>
      </x:c>
      <x:c r="K11" s="1"/>
    </x:row>
    <x:row r="12" ht="24" hidden="0" customHeight="1">
      <x:c r="A12" s="119" t="str">
        <x:v>DIR-08</x:v>
      </x:c>
      <x:c r="B12" s="119" t="str">
        <x:v>Diretriz</x:v>
      </x:c>
      <x:c r="C12" s="119" t="str">
        <x:v>Arquitetura e interação</x:v>
      </x:c>
      <x:c r="D12" s="119" t="str">
        <x:v>Cards expansíveis, campos agrupados por assunto, tabelas ordenáveis e filtros persistentes durante a sessão.</x:v>
      </x:c>
      <x:c r="E12" s="119" t="str">
        <x:v>Parcial</x:v>
      </x:c>
      <x:c r="F12" s="120" t="n">
        <x:f>IF(E12="Implementado",1,IF(E12="Parcial",0.5,0))</x:f>
        <x:v>0.5</x:v>
      </x:c>
      <x:c r="G12" s="119" t="str">
        <x:v>src/nutri_app/ui/resources/app.qss; src/nutri_app/ui/pages</x:v>
      </x:c>
      <x:c r="H12" s="119" t="str">
        <x:v>A diretriz está parcialmente coberta e precisa de validação transversal.</x:v>
      </x:c>
      <x:c r="I12" s="119" t="str">
        <x:v>P1</x:v>
      </x:c>
      <x:c r="J12" s="119" t="str">
        <x:v>Média</x:v>
      </x:c>
      <x:c r="K12" s="1"/>
    </x:row>
    <x:row r="13" ht="24" hidden="0" customHeight="1">
      <x:c r="A13" s="119" t="str">
        <x:v>DIR-09</x:v>
      </x:c>
      <x:c r="B13" s="119" t="str">
        <x:v>Diretriz</x:v>
      </x:c>
      <x:c r="C13" s="119" t="str">
        <x:v>Arquitetura e interação</x:v>
      </x:c>
      <x:c r="D13" s="119" t="str">
        <x:v>Verde: adequado/sem risco; amarelo: atenção; vermelho: crítico/alto risco; azul: informação/terapia ativa; cinza: ausente ou não avaliado.</x:v>
      </x:c>
      <x:c r="E13" s="119" t="str">
        <x:v>Parcial</x:v>
      </x:c>
      <x:c r="F13" s="120" t="n">
        <x:f>IF(E13="Implementado",1,IF(E13="Parcial",0.5,0))</x:f>
        <x:v>0.5</x:v>
      </x:c>
      <x:c r="G13" s="119" t="str">
        <x:v>src/nutri_app/ui/resources/app.qss; src/nutri_app/ui/pages/dashboard_page.py</x:v>
      </x:c>
      <x:c r="H13" s="119" t="str">
        <x:v>A diretriz está parcialmente coberta e precisa de validação transversal.</x:v>
      </x:c>
      <x:c r="I13" s="119" t="str">
        <x:v>P1</x:v>
      </x:c>
      <x:c r="J13" s="119" t="str">
        <x:v>Média</x:v>
      </x:c>
      <x:c r="K13" s="1"/>
    </x:row>
    <x:row r="14" ht="15" hidden="0" customHeight="1">
      <x:c r="A14" s="119" t="str">
        <x:v>DIR-10</x:v>
      </x:c>
      <x:c r="B14" s="119" t="str">
        <x:v>Diretriz</x:v>
      </x:c>
      <x:c r="C14" s="119" t="str">
        <x:v>Arquitetura e interação</x:v>
      </x:c>
      <x:c r="D14" s="119" t="str">
        <x:v>Cor nunca deve ser o único meio de transmitir estado; usar rótulo, ícone e descrição acessível.</x:v>
      </x:c>
      <x:c r="E14" s="119" t="str">
        <x:v>Parcial</x:v>
      </x:c>
      <x:c r="F14" s="120" t="n">
        <x:f>IF(E14="Implementado",1,IF(E14="Parcial",0.5,0))</x:f>
        <x:v>0.5</x:v>
      </x:c>
      <x:c r="G14" s="119" t="str">
        <x:v>src/nutri_app/ui/resources/app.qss</x:v>
      </x:c>
      <x:c r="H14" s="119" t="str">
        <x:v>A diretriz está parcialmente coberta e precisa de validação transversal.</x:v>
      </x:c>
      <x:c r="I14" s="119" t="str">
        <x:v>P1</x:v>
      </x:c>
      <x:c r="J14" s="119" t="str">
        <x:v>Média</x:v>
      </x:c>
      <x:c r="K14" s="1"/>
    </x:row>
    <x:row r="15" ht="15" hidden="0" customHeight="1">
      <x:c r="A15" s="119" t="str">
        <x:v>DIR-11</x:v>
      </x:c>
      <x:c r="B15" s="119" t="str">
        <x:v>Diretriz</x:v>
      </x:c>
      <x:c r="C15" s="119" t="str">
        <x:v>Arquitetura e interação</x:v>
      </x:c>
      <x:c r="D15" s="119" t="str">
        <x:v>Campos condicionais aparecem conforme resposta e conservam histórico quando a condição muda.</x:v>
      </x:c>
      <x:c r="E15" s="119" t="str">
        <x:v>Parcial</x:v>
      </x:c>
      <x:c r="F15" s="120" t="n">
        <x:f>IF(E15="Implementado",1,IF(E15="Parcial",0.5,0))</x:f>
        <x:v>0.5</x:v>
      </x:c>
      <x:c r="G15" s="119" t="str">
        <x:v>src/nutri_app/ui/anamnesis_form.py</x:v>
      </x:c>
      <x:c r="H15" s="119" t="str">
        <x:v>A diretriz está parcialmente coberta e precisa de validação transversal.</x:v>
      </x:c>
      <x:c r="I15" s="119" t="str">
        <x:v>P1</x:v>
      </x:c>
      <x:c r="J15" s="119" t="str">
        <x:v>Média</x:v>
      </x:c>
      <x:c r="K15" s="1"/>
    </x:row>
    <x:row r="16" ht="24" hidden="0" customHeight="1">
      <x:c r="A16" s="119" t="str">
        <x:v>DIR-12</x:v>
      </x:c>
      <x:c r="B16" s="119" t="str">
        <x:v>Diretriz</x:v>
      </x:c>
      <x:c r="C16" s="119" t="str">
        <x:v>Arquitetura e interação</x:v>
      </x:c>
      <x:c r="D16" s="119" t="str">
        <x:v>Mensagens de validação devem explicar o problema e indicar como corrigi-lo, sem apagar o que foi digitado.</x:v>
      </x:c>
      <x:c r="E16" s="119" t="str">
        <x:v>Implementado</x:v>
      </x:c>
      <x:c r="F16" s="120" t="n">
        <x:f>IF(E16="Implementado",1,IF(E16="Parcial",0.5,0))</x:f>
        <x:v>1</x:v>
      </x:c>
      <x:c r="G16" s="119" t="str">
        <x:v>src/nutri_app/ui/input_masks.py; src/nutri_app/services</x:v>
      </x:c>
      <x:c r="H16" s="119" t="str">
        <x:v>Cobertura identificada no escopo atual.</x:v>
      </x:c>
      <x:c r="I16" s="119" t="str">
        <x:v>P1</x:v>
      </x:c>
      <x:c r="J16" s="119" t="str">
        <x:v>Alta</x:v>
      </x:c>
      <x:c r="K16" s="1"/>
    </x:row>
    <x:row r="17" ht="24" hidden="0" customHeight="1">
      <x:c r="A17" s="119" t="str">
        <x:v>DIR-13</x:v>
      </x:c>
      <x:c r="B17" s="119" t="str">
        <x:v>Diretriz</x:v>
      </x:c>
      <x:c r="C17" s="119" t="str">
        <x:v>Segurança, LGPD e auditoria</x:v>
      </x:c>
      <x:c r="D17" s="119" t="str">
        <x:v>RBAC e escopo por unidade, função, paciente, módulo e ação, aplicados na interface e na camada de dados/API.</x:v>
      </x:c>
      <x:c r="E17" s="119" t="str">
        <x:v>Parcial</x:v>
      </x:c>
      <x:c r="F17" s="120" t="n">
        <x:f>IF(E17="Implementado",1,IF(E17="Parcial",0.5,0))</x:f>
        <x:v>0.5</x:v>
      </x:c>
      <x:c r="G17" s="119" t="str">
        <x:v>src/nutri_app/repositories/user_repository.py; src/nutri_app/repositories/audit_repository.py</x:v>
      </x:c>
      <x:c r="H17" s="119" t="str">
        <x:v>A diretriz está parcialmente coberta e precisa de validação transversal.</x:v>
      </x:c>
      <x:c r="I17" s="119" t="str">
        <x:v>P0</x:v>
      </x:c>
      <x:c r="J17" s="119" t="str">
        <x:v>Média</x:v>
      </x:c>
      <x:c r="K17" s="1"/>
    </x:row>
    <x:row r="18" ht="24" hidden="0" customHeight="1">
      <x:c r="A18" s="119" t="str">
        <x:v>DIR-14</x:v>
      </x:c>
      <x:c r="B18" s="119" t="str">
        <x:v>Diretriz</x:v>
      </x:c>
      <x:c r="C18" s="119" t="str">
        <x:v>Segurança, LGPD e auditoria</x:v>
      </x:c>
      <x:c r="D18" s="119" t="str">
        <x:v>Criptografia em trânsito e em repouso conforme arquitetura aprovada; senhas e segredos nunca em texto simples.</x:v>
      </x:c>
      <x:c r="E18" s="119" t="str">
        <x:v>Parcial</x:v>
      </x:c>
      <x:c r="F18" s="120" t="n">
        <x:f>IF(E18="Implementado",1,IF(E18="Parcial",0.5,0))</x:f>
        <x:v>0.5</x:v>
      </x:c>
      <x:c r="G18" s="119" t="str">
        <x:v>src/nutri_app/services/backup.py; src/nutri_app/services/integration.py</x:v>
      </x:c>
      <x:c r="H18" s="119" t="str">
        <x:v>A diretriz está parcialmente coberta e precisa de validação transversal.</x:v>
      </x:c>
      <x:c r="I18" s="119" t="str">
        <x:v>P0</x:v>
      </x:c>
      <x:c r="J18" s="119" t="str">
        <x:v>Média</x:v>
      </x:c>
      <x:c r="K18" s="1"/>
    </x:row>
    <x:row r="19" ht="24" hidden="0" customHeight="1">
      <x:c r="A19" s="119" t="str">
        <x:v>DIR-15</x:v>
      </x:c>
      <x:c r="B19" s="119" t="str">
        <x:v>Diretriz</x:v>
      </x:c>
      <x:c r="C19" s="119" t="str">
        <x:v>Segurança, LGPD e auditoria</x:v>
      </x:c>
      <x:c r="D19" s="119" t="str">
        <x:v>Consentimento e base legal versionados, finalidade, minimização, retenção, portabilidade, correção e anonimização controlada.</x:v>
      </x:c>
      <x:c r="E19" s="119" t="str">
        <x:v>Parcial</x:v>
      </x:c>
      <x:c r="F19" s="120" t="n">
        <x:f>IF(E19="Implementado",1,IF(E19="Parcial",0.5,0))</x:f>
        <x:v>0.5</x:v>
      </x:c>
      <x:c r="G19" s="119" t="str">
        <x:v>src/nutri_app/services/privacy.py; database/migrations/0021_security_governance.sql</x:v>
      </x:c>
      <x:c r="H19" s="119" t="str">
        <x:v>A diretriz está parcialmente coberta e precisa de validação transversal.</x:v>
      </x:c>
      <x:c r="I19" s="119" t="str">
        <x:v>P0</x:v>
      </x:c>
      <x:c r="J19" s="119" t="str">
        <x:v>Média</x:v>
      </x:c>
      <x:c r="K19" s="1"/>
    </x:row>
    <x:row r="20" ht="24" hidden="0" customHeight="1">
      <x:c r="A20" s="119" t="str">
        <x:v>DIR-16</x:v>
      </x:c>
      <x:c r="B20" s="119" t="str">
        <x:v>Diretriz</x:v>
      </x:c>
      <x:c r="C20" s="119" t="str">
        <x:v>Segurança, LGPD e auditoria</x:v>
      </x:c>
      <x:c r="D20" s="119" t="str">
        <x:v>Logs imutáveis para autenticação, consulta sensível, criação, alteração, exclusão lógica, exportação, assinatura e administração.</x:v>
      </x:c>
      <x:c r="E20" s="119" t="str">
        <x:v>Parcial</x:v>
      </x:c>
      <x:c r="F20" s="120" t="n">
        <x:f>IF(E20="Implementado",1,IF(E20="Parcial",0.5,0))</x:f>
        <x:v>0.5</x:v>
      </x:c>
      <x:c r="G20" s="119" t="str">
        <x:v>src/nutri_app/repositories/audit_repository.py</x:v>
      </x:c>
      <x:c r="H20" s="119" t="str">
        <x:v>A diretriz está parcialmente coberta e precisa de validação transversal.</x:v>
      </x:c>
      <x:c r="I20" s="119" t="str">
        <x:v>P0</x:v>
      </x:c>
      <x:c r="J20" s="119" t="str">
        <x:v>Média</x:v>
      </x:c>
      <x:c r="K20" s="1"/>
    </x:row>
    <x:row r="21" ht="24" hidden="0" customHeight="1">
      <x:c r="A21" s="119" t="str">
        <x:v>DIR-17</x:v>
      </x:c>
      <x:c r="B21" s="119" t="str">
        <x:v>Diretriz</x:v>
      </x:c>
      <x:c r="C21" s="119" t="str">
        <x:v>Segurança, LGPD e auditoria</x:v>
      </x:c>
      <x:c r="D21" s="119" t="str">
        <x:v>Backup criptografado, retenção, cópia externa, verificação de integridade e teste periódico de restauração.</x:v>
      </x:c>
      <x:c r="E21" s="119" t="str">
        <x:v>Implementado</x:v>
      </x:c>
      <x:c r="F21" s="120" t="n">
        <x:f>IF(E21="Implementado",1,IF(E21="Parcial",0.5,0))</x:f>
        <x:v>1</x:v>
      </x:c>
      <x:c r="G21" s="119" t="str">
        <x:v>src/nutri_app/services/backup.py; src/nutri_app/services/automatic_backup.py; tests/test_backup_security.py</x:v>
      </x:c>
      <x:c r="H21" s="119" t="str">
        <x:v>Cobertura identificada no escopo atual.</x:v>
      </x:c>
      <x:c r="I21" s="119" t="str">
        <x:v>P1</x:v>
      </x:c>
      <x:c r="J21" s="119" t="str">
        <x:v>Alta</x:v>
      </x:c>
      <x:c r="K21" s="1"/>
    </x:row>
    <x:row r="22" ht="15" hidden="0" customHeight="1">
      <x:c r="A22" s="119" t="str">
        <x:v>DIR-18</x:v>
      </x:c>
      <x:c r="B22" s="119" t="str">
        <x:v>Diretriz</x:v>
      </x:c>
      <x:c r="C22" s="119" t="str">
        <x:v>Segurança, LGPD e auditoria</x:v>
      </x:c>
      <x:c r="D22" s="119" t="str">
        <x:v>Resposta a incidentes com classificação, contenção, evidências, comunicação e ações corretivas.</x:v>
      </x:c>
      <x:c r="E22" s="119" t="str">
        <x:v>Não identificado</x:v>
      </x:c>
      <x:c r="F22" s="120" t="n">
        <x:f>IF(E22="Implementado",1,IF(E22="Parcial",0.5,0))</x:f>
        <x:v>0</x:v>
      </x:c>
      <x:c r="G22" s="119" t="str">
        <x:v>docs/release_v1_0.md</x:v>
      </x:c>
      <x:c r="H22" s="119" t="str">
        <x:v>Não foi identificada implementação operacional desta diretriz.</x:v>
      </x:c>
      <x:c r="I22" s="119" t="str">
        <x:v>P0</x:v>
      </x:c>
      <x:c r="J22" s="119" t="str">
        <x:v>Média</x:v>
      </x:c>
      <x:c r="K22" s="1"/>
    </x:row>
    <x:row r="23" ht="24" hidden="0" customHeight="1">
      <x:c r="A23" s="119" t="str">
        <x:v>DIR-19</x:v>
      </x:c>
      <x:c r="B23" s="119" t="str">
        <x:v>Diretriz</x:v>
      </x:c>
      <x:c r="C23" s="119" t="str">
        <x:v>Segurança, LGPD e auditoria</x:v>
      </x:c>
      <x:c r="D23" s="119" t="str">
        <x:v>Dados de saúde, financeiros e administrativos possuem níveis de acesso distintos e princípio do menor privilégio.</x:v>
      </x:c>
      <x:c r="E23" s="119" t="str">
        <x:v>Parcial</x:v>
      </x:c>
      <x:c r="F23" s="120" t="n">
        <x:f>IF(E23="Implementado",1,IF(E23="Parcial",0.5,0))</x:f>
        <x:v>0.5</x:v>
      </x:c>
      <x:c r="G23" s="119" t="str">
        <x:v>database/migrations/0002_seed_permissions.sql; src/nutri_app/repositories/user_repository.py</x:v>
      </x:c>
      <x:c r="H23" s="119" t="str">
        <x:v>A diretriz está parcialmente coberta e precisa de validação transversal.</x:v>
      </x:c>
      <x:c r="I23" s="119" t="str">
        <x:v>P0</x:v>
      </x:c>
      <x:c r="J23" s="119" t="str">
        <x:v>Média</x:v>
      </x:c>
      <x:c r="K23" s="1"/>
    </x:row>
    <x:row r="24" ht="36" hidden="0" customHeight="1">
      <x:c r="A24" s="119" t="str">
        <x:v>RF-M01-01</x:v>
      </x:c>
      <x:c r="B24" s="119" t="str">
        <x:v>Funcional</x:v>
      </x:c>
      <x:c r="C24" s="119" t="str">
        <x:v>DASHBOARD (CENTRO DE COMANDO)</x:v>
      </x:c>
      <x:c r="D24" s="119" t="str">
        <x:v>Cards clicáveis para pacientes ativos e internados, avaliações pendentes, reavaliações, terapias nutricionais, alertas e evoluções recentes.</x:v>
      </x:c>
      <x:c r="E24" s="119" t="str">
        <x:v>Parcial</x:v>
      </x:c>
      <x:c r="F24" s="120" t="n">
        <x:f>IF(E24="Implementado",1,IF(E24="Parcial",0.5,0))</x:f>
        <x:v>0.5</x:v>
      </x:c>
      <x:c r="G24" s="119" t="str">
        <x:v>src/nutri_app/ui/pages/dashboard_page.py; src/nutri_app/repositories/dashboard_repository.py; tests/test_dashboard_repository.py</x:v>
      </x:c>
      <x:c r="H24" s="119" t="str">
        <x:v>Faltam filtros por unidade/ala/profissional/período, atalhos clínicos e cartões plenamente clicáveis.</x:v>
      </x:c>
      <x:c r="I24" s="119" t="str">
        <x:v>P1</x:v>
      </x:c>
      <x:c r="J24" s="119" t="str">
        <x:v>Média</x:v>
      </x:c>
      <x:c r="K24" s="1"/>
    </x:row>
    <x:row r="25" ht="36" hidden="0" customHeight="1">
      <x:c r="A25" s="119" t="str">
        <x:v>RF-M01-02</x:v>
      </x:c>
      <x:c r="B25" s="119" t="str">
        <x:v>Funcional</x:v>
      </x:c>
      <x:c r="C25" s="119" t="str">
        <x:v>DASHBOARD (CENTRO DE COMANDO)</x:v>
      </x:c>
      <x:c r="D25" s="119" t="str">
        <x:v>Filtros por unidade, ala, período, profissional e situação do atendimento, além de busca rápida por paciente, prontuário ou leito.</x:v>
      </x:c>
      <x:c r="E25" s="119" t="str">
        <x:v>Não identificado</x:v>
      </x:c>
      <x:c r="F25" s="120" t="n">
        <x:f>IF(E25="Implementado",1,IF(E25="Parcial",0.5,0))</x:f>
        <x:v>0</x:v>
      </x:c>
      <x:c r="G25" s="119" t="str">
        <x:v>src/nutri_app/ui/pages/dashboard_page.py; src/nutri_app/repositories/dashboard_repository.py; tests/test_dashboard_repository.py</x:v>
      </x:c>
      <x:c r="H25" s="119" t="str">
        <x:v>Não foi identificada evidência suficiente para este requisito. Faltam filtros por unidade/ala/profissional/período, atalhos clínicos e cartões plenamente clicáveis.</x:v>
      </x:c>
      <x:c r="I25" s="119" t="str">
        <x:v>P1</x:v>
      </x:c>
      <x:c r="J25" s="119" t="str">
        <x:v>Média</x:v>
      </x:c>
      <x:c r="K25" s="1"/>
    </x:row>
    <x:row r="26" ht="36" hidden="0" customHeight="1">
      <x:c r="A26" s="119" t="str">
        <x:v>RF-M01-03</x:v>
      </x:c>
      <x:c r="B26" s="119" t="str">
        <x:v>Funcional</x:v>
      </x:c>
      <x:c r="C26" s="119" t="str">
        <x:v>DASHBOARD (CENTRO DE COMANDO)</x:v>
      </x:c>
      <x:c r="D26" s="119" t="str">
        <x:v>Painel de risco nutricional com quantidades e percentuais por classificação configurada: baixo, moderado, alto e não avaliado.</x:v>
      </x:c>
      <x:c r="E26" s="119" t="str">
        <x:v>Parcial</x:v>
      </x:c>
      <x:c r="F26" s="120" t="n">
        <x:f>IF(E26="Implementado",1,IF(E26="Parcial",0.5,0))</x:f>
        <x:v>0.5</x:v>
      </x:c>
      <x:c r="G26" s="119" t="str">
        <x:v>src/nutri_app/ui/pages/dashboard_page.py; src/nutri_app/repositories/dashboard_repository.py; tests/test_dashboard_repository.py</x:v>
      </x:c>
      <x:c r="H26" s="119" t="str">
        <x:v>Faltam filtros por unidade/ala/profissional/período, atalhos clínicos e cartões plenamente clicáveis.</x:v>
      </x:c>
      <x:c r="I26" s="119" t="str">
        <x:v>P1</x:v>
      </x:c>
      <x:c r="J26" s="119" t="str">
        <x:v>Média</x:v>
      </x:c>
      <x:c r="K26" s="1"/>
    </x:row>
    <x:row r="27" ht="36" hidden="0" customHeight="1">
      <x:c r="A27" s="119" t="str">
        <x:v>RF-M01-04</x:v>
      </x:c>
      <x:c r="B27" s="119" t="str">
        <x:v>Funcional</x:v>
      </x:c>
      <x:c r="C27" s="119" t="str">
        <x:v>DASHBOARD (CENTRO DE COMANDO)</x:v>
      </x:c>
      <x:c r="D27" s="119" t="str">
        <x:v>Lista priorizada de pacientes que exigem atenção, considerando somente dados registrados no prontuário.</x:v>
      </x:c>
      <x:c r="E27" s="119" t="str">
        <x:v>Parcial</x:v>
      </x:c>
      <x:c r="F27" s="120" t="n">
        <x:f>IF(E27="Implementado",1,IF(E27="Parcial",0.5,0))</x:f>
        <x:v>0.5</x:v>
      </x:c>
      <x:c r="G27" s="119" t="str">
        <x:v>src/nutri_app/ui/pages/dashboard_page.py; src/nutri_app/repositories/dashboard_repository.py; tests/test_dashboard_repository.py</x:v>
      </x:c>
      <x:c r="H27" s="119" t="str">
        <x:v>Faltam filtros por unidade/ala/profissional/período, atalhos clínicos e cartões plenamente clicáveis.</x:v>
      </x:c>
      <x:c r="I27" s="119" t="str">
        <x:v>P1</x:v>
      </x:c>
      <x:c r="J27" s="119" t="str">
        <x:v>Média</x:v>
      </x:c>
      <x:c r="K27" s="1"/>
    </x:row>
    <x:row r="28" ht="36" hidden="0" customHeight="1">
      <x:c r="A28" s="119" t="str">
        <x:v>RF-M01-05</x:v>
      </x:c>
      <x:c r="B28" s="119" t="str">
        <x:v>Funcional</x:v>
      </x:c>
      <x:c r="C28" s="119" t="str">
        <x:v>DASHBOARD (CENTRO DE COMANDO)</x:v>
      </x:c>
      <x:c r="D28" s="119" t="str">
        <x:v>Gráficos de tendência e indicadores assistenciais, com detalhamento da origem de cada número.</x:v>
      </x:c>
      <x:c r="E28" s="119" t="str">
        <x:v>Implementado</x:v>
      </x:c>
      <x:c r="F28" s="120" t="n">
        <x:f>IF(E28="Implementado",1,IF(E28="Parcial",0.5,0))</x:f>
        <x:v>1</x:v>
      </x:c>
      <x:c r="G28" s="119" t="str">
        <x:v>src/nutri_app/ui/pages/dashboard_page.py; src/nutri_app/repositories/dashboard_repository.py; tests/test_dashboard_repository.py</x:v>
      </x:c>
      <x:c r="H28" s="119" t="str">
        <x:v>Cobertura identificada no escopo atual; ainda requer validação de uso real quando aplicável.</x:v>
      </x:c>
      <x:c r="I28" s="119" t="str">
        <x:v>—</x:v>
      </x:c>
      <x:c r="J28" s="119" t="str">
        <x:v>Alta</x:v>
      </x:c>
      <x:c r="K28" s="1"/>
    </x:row>
    <x:row r="29" ht="36" hidden="0" customHeight="1">
      <x:c r="A29" s="119" t="str">
        <x:v>RF-M01-06</x:v>
      </x:c>
      <x:c r="B29" s="119" t="str">
        <x:v>Funcional</x:v>
      </x:c>
      <x:c r="C29" s="119" t="str">
        <x:v>DASHBOARD (CENTRO DE COMANDO)</x:v>
      </x:c>
      <x:c r="D29" s="119" t="str">
        <x:v>Atalhos para novo paciente, nova avaliação, evolução, agenda, exames e prontuário do paciente ativo.</x:v>
      </x:c>
      <x:c r="E29" s="119" t="str">
        <x:v>Não identificado</x:v>
      </x:c>
      <x:c r="F29" s="120" t="n">
        <x:f>IF(E29="Implementado",1,IF(E29="Parcial",0.5,0))</x:f>
        <x:v>0</x:v>
      </x:c>
      <x:c r="G29" s="119" t="str">
        <x:v>src/nutri_app/ui/pages/dashboard_page.py; src/nutri_app/repositories/dashboard_repository.py; tests/test_dashboard_repository.py</x:v>
      </x:c>
      <x:c r="H29" s="119" t="str">
        <x:v>Não foi identificada evidência suficiente para este requisito. Faltam filtros por unidade/ala/profissional/período, atalhos clínicos e cartões plenamente clicáveis.</x:v>
      </x:c>
      <x:c r="I29" s="119" t="str">
        <x:v>P1</x:v>
      </x:c>
      <x:c r="J29" s="119" t="str">
        <x:v>Média</x:v>
      </x:c>
      <x:c r="K29" s="1"/>
    </x:row>
    <x:row r="30" ht="36" hidden="0" customHeight="1">
      <x:c r="A30" s="119" t="str">
        <x:v>RN-M01-01</x:v>
      </x:c>
      <x:c r="B30" s="119" t="str">
        <x:v>Regra de negócio</x:v>
      </x:c>
      <x:c r="C30" s="119" t="str">
        <x:v>DASHBOARD (CENTRO DE COMANDO)</x:v>
      </x:c>
      <x:c r="D30" s="119" t="str">
        <x:v>Nenhum diagnóstico ou alerta pode ser inventado; toda sinalização deve apontar o registro clínico que a originou.</x:v>
      </x:c>
      <x:c r="E30" s="119" t="str">
        <x:v>Implementado</x:v>
      </x:c>
      <x:c r="F30" s="120" t="n">
        <x:f>IF(E30="Implementado",1,IF(E30="Parcial",0.5,0))</x:f>
        <x:v>1</x:v>
      </x:c>
      <x:c r="G30" s="119" t="str">
        <x:v>src/nutri_app/ui/pages/dashboard_page.py; src/nutri_app/repositories/dashboard_repository.py; tests/test_dashboard_repository.py</x:v>
      </x:c>
      <x:c r="H30" s="119" t="str">
        <x:v>Cobertura identificada no escopo atual; ainda requer validação de uso real quando aplicável.</x:v>
      </x:c>
      <x:c r="I30" s="119" t="str">
        <x:v>—</x:v>
      </x:c>
      <x:c r="J30" s="119" t="str">
        <x:v>Alta</x:v>
      </x:c>
      <x:c r="K30" s="1"/>
    </x:row>
    <x:row r="31" ht="36" hidden="0" customHeight="1">
      <x:c r="A31" s="119" t="str">
        <x:v>RN-M01-02</x:v>
      </x:c>
      <x:c r="B31" s="119" t="str">
        <x:v>Regra de negócio</x:v>
      </x:c>
      <x:c r="C31" s="119" t="str">
        <x:v>DASHBOARD (CENTRO DE COMANDO)</x:v>
      </x:c>
      <x:c r="D31" s="119" t="str">
        <x:v>A visualização deve respeitar unidade, perfil e permissões do usuário autenticado.</x:v>
      </x:c>
      <x:c r="E31" s="119" t="str">
        <x:v>Parcial</x:v>
      </x:c>
      <x:c r="F31" s="120" t="n">
        <x:f>IF(E31="Implementado",1,IF(E31="Parcial",0.5,0))</x:f>
        <x:v>0.5</x:v>
      </x:c>
      <x:c r="G31" s="119" t="str">
        <x:v>src/nutri_app/ui/pages/dashboard_page.py; src/nutri_app/repositories/dashboard_repository.py; tests/test_dashboard_repository.py</x:v>
      </x:c>
      <x:c r="H31" s="119" t="str">
        <x:v>Faltam filtros por unidade/ala/profissional/período, atalhos clínicos e cartões plenamente clicáveis.</x:v>
      </x:c>
      <x:c r="I31" s="119" t="str">
        <x:v>P1</x:v>
      </x:c>
      <x:c r="J31" s="119" t="str">
        <x:v>Média</x:v>
      </x:c>
      <x:c r="K31" s="1"/>
    </x:row>
    <x:row r="32" ht="36" hidden="0" customHeight="1">
      <x:c r="A32" s="119" t="str">
        <x:v>RF-M02-01</x:v>
      </x:c>
      <x:c r="B32" s="119" t="str">
        <x:v>Funcional</x:v>
      </x:c>
      <x:c r="C32" s="119" t="str">
        <x:v>PACIENTES (PRONTUÁRIO E INTERNAÇÕES)</x:v>
      </x:c>
      <x:c r="D32" s="119" t="str">
        <x:v>Cadastro de dados pessoais, nome social, CPF, CNS, RG, nascimento, sexo biológico, gênero, contatos, endereço e responsável.</x:v>
      </x:c>
      <x:c r="E32" s="119" t="str">
        <x:v>Parcial</x:v>
      </x:c>
      <x:c r="F32" s="120" t="n">
        <x:f>IF(E32="Implementado",1,IF(E32="Parcial",0.5,0))</x:f>
        <x:v>0.5</x:v>
      </x:c>
      <x:c r="G32" s="119" t="str">
        <x:v>src/nutri_app/ui/pages/patients_page.py; src/nutri_app/repositories/patient_repository.py; src/nutri_app/services/privacy.py; tests/test_patient_repository.py; tests/test_privacy.py</x:v>
      </x:c>
      <x:c r="H32" s="119" t="str">
        <x:v>Faltam prontuário/internação estruturados, unidade/leito/equipe, campos completos de identidade, unicidade de CPF/CNS e ações rápidas.</x:v>
      </x:c>
      <x:c r="I32" s="119" t="str">
        <x:v>P0</x:v>
      </x:c>
      <x:c r="J32" s="119" t="str">
        <x:v>Média</x:v>
      </x:c>
      <x:c r="K32" s="1"/>
    </x:row>
    <x:row r="33" ht="36" hidden="0" customHeight="1">
      <x:c r="A33" s="119" t="str">
        <x:v>RF-M02-02</x:v>
      </x:c>
      <x:c r="B33" s="119" t="str">
        <x:v>Funcional</x:v>
      </x:c>
      <x:c r="C33" s="119" t="str">
        <x:v>PACIENTES (PRONTUÁRIO E INTERNAÇÕES)</x:v>
      </x:c>
      <x:c r="D33" s="119" t="str">
        <x:v>Registro de prontuário, episódio de internação, unidade, leito, convênio, equipe responsável, diagnósticos e condição de alta.</x:v>
      </x:c>
      <x:c r="E33" s="119" t="str">
        <x:v>Não identificado</x:v>
      </x:c>
      <x:c r="F33" s="120" t="n">
        <x:f>IF(E33="Implementado",1,IF(E33="Parcial",0.5,0))</x:f>
        <x:v>0</x:v>
      </x:c>
      <x:c r="G33" s="119" t="str">
        <x:v>src/nutri_app/ui/pages/patients_page.py; src/nutri_app/repositories/patient_repository.py; src/nutri_app/services/privacy.py; tests/test_patient_repository.py; tests/test_privacy.py</x:v>
      </x:c>
      <x:c r="H33" s="119" t="str">
        <x:v>Não foi identificada evidência suficiente para este requisito. Faltam prontuário/internação estruturados, unidade/leito/equipe, campos completos de identidade, unicidade de CPF/CNS e ações rápidas.</x:v>
      </x:c>
      <x:c r="I33" s="119" t="str">
        <x:v>P0</x:v>
      </x:c>
      <x:c r="J33" s="119" t="str">
        <x:v>Média</x:v>
      </x:c>
      <x:c r="K33" s="1"/>
    </x:row>
    <x:row r="34" ht="36" hidden="0" customHeight="1">
      <x:c r="A34" s="119" t="str">
        <x:v>RF-M02-03</x:v>
      </x:c>
      <x:c r="B34" s="119" t="str">
        <x:v>Funcional</x:v>
      </x:c>
      <x:c r="C34" s="119" t="str">
        <x:v>PACIENTES (PRONTUÁRIO E INTERNAÇÕES)</x:v>
      </x:c>
      <x:c r="D34" s="119" t="str">
        <x:v>Pesquisa e filtros por nome, documento, prontuário, unidade, leito, status, risco e responsável.</x:v>
      </x:c>
      <x:c r="E34" s="119" t="str">
        <x:v>Parcial</x:v>
      </x:c>
      <x:c r="F34" s="120" t="n">
        <x:f>IF(E34="Implementado",1,IF(E34="Parcial",0.5,0))</x:f>
        <x:v>0.5</x:v>
      </x:c>
      <x:c r="G34" s="119" t="str">
        <x:v>src/nutri_app/ui/pages/patients_page.py; src/nutri_app/repositories/patient_repository.py; src/nutri_app/services/privacy.py; tests/test_patient_repository.py; tests/test_privacy.py</x:v>
      </x:c>
      <x:c r="H34" s="119" t="str">
        <x:v>Faltam prontuário/internação estruturados, unidade/leito/equipe, campos completos de identidade, unicidade de CPF/CNS e ações rápidas.</x:v>
      </x:c>
      <x:c r="I34" s="119" t="str">
        <x:v>P0</x:v>
      </x:c>
      <x:c r="J34" s="119" t="str">
        <x:v>Média</x:v>
      </x:c>
      <x:c r="K34" s="1"/>
    </x:row>
    <x:row r="35" ht="36" hidden="0" customHeight="1">
      <x:c r="A35" s="119" t="str">
        <x:v>RF-M02-04</x:v>
      </x:c>
      <x:c r="B35" s="119" t="str">
        <x:v>Funcional</x:v>
      </x:c>
      <x:c r="C35" s="119" t="str">
        <x:v>PACIENTES (PRONTUÁRIO E INTERNAÇÕES)</x:v>
      </x:c>
      <x:c r="D35" s="119" t="str">
        <x:v>Histórico de múltiplas internações, atendimentos ambulatoriais, altas e reinternações preservando vínculo com as avaliações.</x:v>
      </x:c>
      <x:c r="E35" s="119" t="str">
        <x:v>Parcial</x:v>
      </x:c>
      <x:c r="F35" s="120" t="n">
        <x:f>IF(E35="Implementado",1,IF(E35="Parcial",0.5,0))</x:f>
        <x:v>0.5</x:v>
      </x:c>
      <x:c r="G35" s="119" t="str">
        <x:v>src/nutri_app/ui/pages/patients_page.py; src/nutri_app/repositories/patient_repository.py; src/nutri_app/services/privacy.py; tests/test_patient_repository.py; tests/test_privacy.py</x:v>
      </x:c>
      <x:c r="H35" s="119" t="str">
        <x:v>Faltam prontuário/internação estruturados, unidade/leito/equipe, campos completos de identidade, unicidade de CPF/CNS e ações rápidas.</x:v>
      </x:c>
      <x:c r="I35" s="119" t="str">
        <x:v>P0</x:v>
      </x:c>
      <x:c r="J35" s="119" t="str">
        <x:v>Média</x:v>
      </x:c>
      <x:c r="K35" s="1"/>
    </x:row>
    <x:row r="36" ht="36" hidden="0" customHeight="1">
      <x:c r="A36" s="119" t="str">
        <x:v>RF-M02-05</x:v>
      </x:c>
      <x:c r="B36" s="119" t="str">
        <x:v>Funcional</x:v>
      </x:c>
      <x:c r="C36" s="119" t="str">
        <x:v>PACIENTES (PRONTUÁRIO E INTERNAÇÕES)</x:v>
      </x:c>
      <x:c r="D36" s="119" t="str">
        <x:v>Ações rápidas para abrir avaliação, exames, evolução, prescrições, agenda, financeiro e documentos do paciente.</x:v>
      </x:c>
      <x:c r="E36" s="119" t="str">
        <x:v>Não identificado</x:v>
      </x:c>
      <x:c r="F36" s="120" t="n">
        <x:f>IF(E36="Implementado",1,IF(E36="Parcial",0.5,0))</x:f>
        <x:v>0</x:v>
      </x:c>
      <x:c r="G36" s="119" t="str">
        <x:v>src/nutri_app/ui/pages/patients_page.py; src/nutri_app/repositories/patient_repository.py; src/nutri_app/services/privacy.py; tests/test_patient_repository.py; tests/test_privacy.py</x:v>
      </x:c>
      <x:c r="H36" s="119" t="str">
        <x:v>Não foi identificada evidência suficiente para este requisito. Faltam prontuário/internação estruturados, unidade/leito/equipe, campos completos de identidade, unicidade de CPF/CNS e ações rápidas.</x:v>
      </x:c>
      <x:c r="I36" s="119" t="str">
        <x:v>P0</x:v>
      </x:c>
      <x:c r="J36" s="119" t="str">
        <x:v>Média</x:v>
      </x:c>
      <x:c r="K36" s="1"/>
    </x:row>
    <x:row r="37" ht="36" hidden="0" customHeight="1">
      <x:c r="A37" s="119" t="str">
        <x:v>RF-M02-06</x:v>
      </x:c>
      <x:c r="B37" s="119" t="str">
        <x:v>Funcional</x:v>
      </x:c>
      <x:c r="C37" s="119" t="str">
        <x:v>PACIENTES (PRONTUÁRIO E INTERNAÇÕES)</x:v>
      </x:c>
      <x:c r="D37" s="119" t="str">
        <x:v>Consentimento, preferências de comunicação, exportação de dados e solicitações de privacidade vinculados ao cadastro.</x:v>
      </x:c>
      <x:c r="E37" s="119" t="str">
        <x:v>Parcial</x:v>
      </x:c>
      <x:c r="F37" s="120" t="n">
        <x:f>IF(E37="Implementado",1,IF(E37="Parcial",0.5,0))</x:f>
        <x:v>0.5</x:v>
      </x:c>
      <x:c r="G37" s="119" t="str">
        <x:v>src/nutri_app/ui/pages/patients_page.py; src/nutri_app/repositories/patient_repository.py; src/nutri_app/services/privacy.py; tests/test_patient_repository.py; tests/test_privacy.py</x:v>
      </x:c>
      <x:c r="H37" s="119" t="str">
        <x:v>Faltam prontuário/internação estruturados, unidade/leito/equipe, campos completos de identidade, unicidade de CPF/CNS e ações rápidas.</x:v>
      </x:c>
      <x:c r="I37" s="119" t="str">
        <x:v>P0</x:v>
      </x:c>
      <x:c r="J37" s="119" t="str">
        <x:v>Média</x:v>
      </x:c>
      <x:c r="K37" s="1"/>
    </x:row>
    <x:row r="38" ht="36" hidden="0" customHeight="1">
      <x:c r="A38" s="119" t="str">
        <x:v>RN-M02-01</x:v>
      </x:c>
      <x:c r="B38" s="119" t="str">
        <x:v>Regra de negócio</x:v>
      </x:c>
      <x:c r="C38" s="119" t="str">
        <x:v>PACIENTES (PRONTUÁRIO E INTERNAÇÕES)</x:v>
      </x:c>
      <x:c r="D38" s="119" t="str">
        <x:v>CPF, CNS e prontuário devem possuir validação e política de unicidade configurável.</x:v>
      </x:c>
      <x:c r="E38" s="119" t="str">
        <x:v>Não identificado</x:v>
      </x:c>
      <x:c r="F38" s="120" t="n">
        <x:f>IF(E38="Implementado",1,IF(E38="Parcial",0.5,0))</x:f>
        <x:v>0</x:v>
      </x:c>
      <x:c r="G38" s="119" t="str">
        <x:v>src/nutri_app/ui/pages/patients_page.py; src/nutri_app/repositories/patient_repository.py; src/nutri_app/services/privacy.py; tests/test_patient_repository.py; tests/test_privacy.py</x:v>
      </x:c>
      <x:c r="H38" s="119" t="str">
        <x:v>Não foi identificada evidência suficiente para este requisito. Faltam prontuário/internação estruturados, unidade/leito/equipe, campos completos de identidade, unicidade de CPF/CNS e ações rápidas.</x:v>
      </x:c>
      <x:c r="I38" s="119" t="str">
        <x:v>P0</x:v>
      </x:c>
      <x:c r="J38" s="119" t="str">
        <x:v>Média</x:v>
      </x:c>
      <x:c r="K38" s="1"/>
    </x:row>
    <x:row r="39" ht="36" hidden="0" customHeight="1">
      <x:c r="A39" s="119" t="str">
        <x:v>RN-M02-02</x:v>
      </x:c>
      <x:c r="B39" s="119" t="str">
        <x:v>Regra de negócio</x:v>
      </x:c>
      <x:c r="C39" s="119" t="str">
        <x:v>PACIENTES (PRONTUÁRIO E INTERNAÇÕES)</x:v>
      </x:c>
      <x:c r="D39" s="119" t="str">
        <x:v>Exclusão definitiva é proibida quando houver prontuário; usar arquivamento, anonimização ou retenção conforme política aprovada.</x:v>
      </x:c>
      <x:c r="E39" s="119" t="str">
        <x:v>Implementado</x:v>
      </x:c>
      <x:c r="F39" s="120" t="n">
        <x:f>IF(E39="Implementado",1,IF(E39="Parcial",0.5,0))</x:f>
        <x:v>1</x:v>
      </x:c>
      <x:c r="G39" s="119" t="str">
        <x:v>src/nutri_app/ui/pages/patients_page.py; src/nutri_app/repositories/patient_repository.py; src/nutri_app/services/privacy.py; tests/test_patient_repository.py; tests/test_privacy.py</x:v>
      </x:c>
      <x:c r="H39" s="119" t="str">
        <x:v>Cobertura identificada no escopo atual; ainda requer validação de uso real quando aplicável.</x:v>
      </x:c>
      <x:c r="I39" s="119" t="str">
        <x:v>—</x:v>
      </x:c>
      <x:c r="J39" s="119" t="str">
        <x:v>Alta</x:v>
      </x:c>
      <x:c r="K39" s="1"/>
    </x:row>
    <x:row r="40" ht="24" hidden="0" customHeight="1">
      <x:c r="A40" s="119" t="str">
        <x:v>RF-M03-01</x:v>
      </x:c>
      <x:c r="B40" s="119" t="str">
        <x:v>Funcional</x:v>
      </x:c>
      <x:c r="C40" s="119" t="str">
        <x:v>AVALIAÇÃO NUTRICIONAL (CENTRAL AGRUPADORA)</x:v>
      </x:c>
      <x:c r="D40" s="119" t="str">
        <x:v>Criar avaliação inicial, reavaliação ou retorno com data, profissional, local, motivo e status.</x:v>
      </x:c>
      <x:c r="E40" s="119" t="str">
        <x:v>Parcial</x:v>
      </x:c>
      <x:c r="F40" s="120" t="n">
        <x:f>IF(E40="Implementado",1,IF(E40="Parcial",0.5,0))</x:f>
        <x:v>0.5</x:v>
      </x:c>
      <x:c r="G40" s="119" t="str">
        <x:v>src/nutri_app/ui/main_window.py; database/schema.sql</x:v>
      </x:c>
      <x:c r="H40" s="119" t="str">
        <x:v>Não há central única de avaliação com cards, progresso, rascunho automático, finalização, assinatura, versão e adendo.</x:v>
      </x:c>
      <x:c r="I40" s="119" t="str">
        <x:v>P1</x:v>
      </x:c>
      <x:c r="J40" s="119" t="str">
        <x:v>Média</x:v>
      </x:c>
      <x:c r="K40" s="1"/>
    </x:row>
    <x:row r="41" ht="24" hidden="0" customHeight="1">
      <x:c r="A41" s="119" t="str">
        <x:v>RF-M03-02</x:v>
      </x:c>
      <x:c r="B41" s="119" t="str">
        <x:v>Funcional</x:v>
      </x:c>
      <x:c r="C41" s="119" t="str">
        <x:v>AVALIAÇÃO NUTRICIONAL (CENTRAL AGRUPADORA)</x:v>
      </x:c>
      <x:c r="D41" s="119" t="str">
        <x:v>Organizar identificação, anamnese, antropometria, clínica, exames, dietética, gasto, necessidades, diagnóstico, prescrição, plano e evolução em cards expansíveis.</x:v>
      </x:c>
      <x:c r="E41" s="119" t="str">
        <x:v>Não identificado</x:v>
      </x:c>
      <x:c r="F41" s="120" t="n">
        <x:f>IF(E41="Implementado",1,IF(E41="Parcial",0.5,0))</x:f>
        <x:v>0</x:v>
      </x:c>
      <x:c r="G41" s="119" t="str">
        <x:v>src/nutri_app/ui/main_window.py; database/schema.sql</x:v>
      </x:c>
      <x:c r="H41" s="119" t="str">
        <x:v>Não foi identificada evidência suficiente para este requisito. Não há central única de avaliação com cards, progresso, rascunho automático, finalização, assinatura, versão e adendo.</x:v>
      </x:c>
      <x:c r="I41" s="119" t="str">
        <x:v>P1</x:v>
      </x:c>
      <x:c r="J41" s="119" t="str">
        <x:v>Média</x:v>
      </x:c>
      <x:c r="K41" s="1"/>
    </x:row>
    <x:row r="42" ht="24" hidden="0" customHeight="1">
      <x:c r="A42" s="119" t="str">
        <x:v>RF-M03-03</x:v>
      </x:c>
      <x:c r="B42" s="119" t="str">
        <x:v>Funcional</x:v>
      </x:c>
      <x:c r="C42" s="119" t="str">
        <x:v>AVALIAÇÃO NUTRICIONAL (CENTRAL AGRUPADORA)</x:v>
      </x:c>
      <x:c r="D42" s="119" t="str">
        <x:v>Exibir progresso por blocos aplicáveis, sem transformar itens opcionais em obrigatórios.</x:v>
      </x:c>
      <x:c r="E42" s="119" t="str">
        <x:v>Não identificado</x:v>
      </x:c>
      <x:c r="F42" s="120" t="n">
        <x:f>IF(E42="Implementado",1,IF(E42="Parcial",0.5,0))</x:f>
        <x:v>0</x:v>
      </x:c>
      <x:c r="G42" s="119" t="str">
        <x:v>src/nutri_app/ui/main_window.py; database/schema.sql</x:v>
      </x:c>
      <x:c r="H42" s="119" t="str">
        <x:v>Não foi identificada evidência suficiente para este requisito. Não há central única de avaliação com cards, progresso, rascunho automático, finalização, assinatura, versão e adendo.</x:v>
      </x:c>
      <x:c r="I42" s="119" t="str">
        <x:v>P1</x:v>
      </x:c>
      <x:c r="J42" s="119" t="str">
        <x:v>Média</x:v>
      </x:c>
      <x:c r="K42" s="1"/>
    </x:row>
    <x:row r="43" ht="24" hidden="0" customHeight="1">
      <x:c r="A43" s="119" t="str">
        <x:v>RF-M03-04</x:v>
      </x:c>
      <x:c r="B43" s="119" t="str">
        <x:v>Funcional</x:v>
      </x:c>
      <x:c r="C43" s="119" t="str">
        <x:v>AVALIAÇÃO NUTRICIONAL (CENTRAL AGRUPADORA)</x:v>
      </x:c>
      <x:c r="D43" s="119" t="str">
        <x:v>Permitir navegação entre módulos, múltiplos cards abertos e retorno ao resumo sem perda de dados.</x:v>
      </x:c>
      <x:c r="E43" s="119" t="str">
        <x:v>Parcial</x:v>
      </x:c>
      <x:c r="F43" s="120" t="n">
        <x:f>IF(E43="Implementado",1,IF(E43="Parcial",0.5,0))</x:f>
        <x:v>0.5</x:v>
      </x:c>
      <x:c r="G43" s="119" t="str">
        <x:v>src/nutri_app/ui/main_window.py; database/schema.sql</x:v>
      </x:c>
      <x:c r="H43" s="119" t="str">
        <x:v>Não há central única de avaliação com cards, progresso, rascunho automático, finalização, assinatura, versão e adendo.</x:v>
      </x:c>
      <x:c r="I43" s="119" t="str">
        <x:v>P1</x:v>
      </x:c>
      <x:c r="J43" s="119" t="str">
        <x:v>Média</x:v>
      </x:c>
      <x:c r="K43" s="1"/>
    </x:row>
    <x:row r="44" ht="24" hidden="0" customHeight="1">
      <x:c r="A44" s="119" t="str">
        <x:v>RF-M03-05</x:v>
      </x:c>
      <x:c r="B44" s="119" t="str">
        <x:v>Funcional</x:v>
      </x:c>
      <x:c r="C44" s="119" t="str">
        <x:v>AVALIAÇÃO NUTRICIONAL (CENTRAL AGRUPADORA)</x:v>
      </x:c>
      <x:c r="D44" s="119" t="str">
        <x:v>Apresentar resumo clínico editável, alertas de inconsistência e pendências antes da finalização.</x:v>
      </x:c>
      <x:c r="E44" s="119" t="str">
        <x:v>Parcial</x:v>
      </x:c>
      <x:c r="F44" s="120" t="n">
        <x:f>IF(E44="Implementado",1,IF(E44="Parcial",0.5,0))</x:f>
        <x:v>0.5</x:v>
      </x:c>
      <x:c r="G44" s="119" t="str">
        <x:v>src/nutri_app/ui/main_window.py; database/schema.sql</x:v>
      </x:c>
      <x:c r="H44" s="119" t="str">
        <x:v>Não há central única de avaliação com cards, progresso, rascunho automático, finalização, assinatura, versão e adendo.</x:v>
      </x:c>
      <x:c r="I44" s="119" t="str">
        <x:v>P1</x:v>
      </x:c>
      <x:c r="J44" s="119" t="str">
        <x:v>Média</x:v>
      </x:c>
      <x:c r="K44" s="1"/>
    </x:row>
    <x:row r="45" ht="24" hidden="0" customHeight="1">
      <x:c r="A45" s="119" t="str">
        <x:v>RF-M03-06</x:v>
      </x:c>
      <x:c r="B45" s="119" t="str">
        <x:v>Funcional</x:v>
      </x:c>
      <x:c r="C45" s="119" t="str">
        <x:v>AVALIAÇÃO NUTRICIONAL (CENTRAL AGRUPADORA)</x:v>
      </x:c>
      <x:c r="D45" s="119" t="str">
        <x:v>Salvar rascunhos automaticamente e registrar finalização, revisão, assinatura e versão.</x:v>
      </x:c>
      <x:c r="E45" s="119" t="str">
        <x:v>Não identificado</x:v>
      </x:c>
      <x:c r="F45" s="120" t="n">
        <x:f>IF(E45="Implementado",1,IF(E45="Parcial",0.5,0))</x:f>
        <x:v>0</x:v>
      </x:c>
      <x:c r="G45" s="119" t="str">
        <x:v>src/nutri_app/ui/main_window.py; database/schema.sql</x:v>
      </x:c>
      <x:c r="H45" s="119" t="str">
        <x:v>Não foi identificada evidência suficiente para este requisito. Não há central única de avaliação com cards, progresso, rascunho automático, finalização, assinatura, versão e adendo.</x:v>
      </x:c>
      <x:c r="I45" s="119" t="str">
        <x:v>P1</x:v>
      </x:c>
      <x:c r="J45" s="119" t="str">
        <x:v>Média</x:v>
      </x:c>
      <x:c r="K45" s="1"/>
    </x:row>
    <x:row r="46" ht="24" hidden="0" customHeight="1">
      <x:c r="A46" s="119" t="str">
        <x:v>RN-M03-01</x:v>
      </x:c>
      <x:c r="B46" s="119" t="str">
        <x:v>Regra de negócio</x:v>
      </x:c>
      <x:c r="C46" s="119" t="str">
        <x:v>AVALIAÇÃO NUTRICIONAL (CENTRAL AGRUPADORA)</x:v>
      </x:c>
      <x:c r="D46" s="119" t="str">
        <x:v>Os módulos compartilham identificadores e dados por referência; não devem manter cópias clínicas divergentes.</x:v>
      </x:c>
      <x:c r="E46" s="119" t="str">
        <x:v>Parcial</x:v>
      </x:c>
      <x:c r="F46" s="120" t="n">
        <x:f>IF(E46="Implementado",1,IF(E46="Parcial",0.5,0))</x:f>
        <x:v>0.5</x:v>
      </x:c>
      <x:c r="G46" s="119" t="str">
        <x:v>src/nutri_app/ui/main_window.py; database/schema.sql</x:v>
      </x:c>
      <x:c r="H46" s="119" t="str">
        <x:v>Não há central única de avaliação com cards, progresso, rascunho automático, finalização, assinatura, versão e adendo.</x:v>
      </x:c>
      <x:c r="I46" s="119" t="str">
        <x:v>P1</x:v>
      </x:c>
      <x:c r="J46" s="119" t="str">
        <x:v>Média</x:v>
      </x:c>
      <x:c r="K46" s="1"/>
    </x:row>
    <x:row r="47" ht="24" hidden="0" customHeight="1">
      <x:c r="A47" s="119" t="str">
        <x:v>RN-M03-02</x:v>
      </x:c>
      <x:c r="B47" s="119" t="str">
        <x:v>Regra de negócio</x:v>
      </x:c>
      <x:c r="C47" s="119" t="str">
        <x:v>AVALIAÇÃO NUTRICIONAL (CENTRAL AGRUPADORA)</x:v>
      </x:c>
      <x:c r="D47" s="119" t="str">
        <x:v>A finalização não impede adendo posterior, mas toda alteração deve ser versionada e auditada.</x:v>
      </x:c>
      <x:c r="E47" s="119" t="str">
        <x:v>Não identificado</x:v>
      </x:c>
      <x:c r="F47" s="120" t="n">
        <x:f>IF(E47="Implementado",1,IF(E47="Parcial",0.5,0))</x:f>
        <x:v>0</x:v>
      </x:c>
      <x:c r="G47" s="119" t="str">
        <x:v>src/nutri_app/ui/main_window.py; database/schema.sql</x:v>
      </x:c>
      <x:c r="H47" s="119" t="str">
        <x:v>Não foi identificada evidência suficiente para este requisito. Não há central única de avaliação com cards, progresso, rascunho automático, finalização, assinatura, versão e adendo.</x:v>
      </x:c>
      <x:c r="I47" s="119" t="str">
        <x:v>P1</x:v>
      </x:c>
      <x:c r="J47" s="119" t="str">
        <x:v>Média</x:v>
      </x:c>
      <x:c r="K47" s="1"/>
    </x:row>
    <x:row r="48" ht="36" hidden="0" customHeight="1">
      <x:c r="A48" s="119" t="str">
        <x:v>RF-M04-01</x:v>
      </x:c>
      <x:c r="B48" s="119" t="str">
        <x:v>Funcional</x:v>
      </x:c>
      <x:c r="C48" s="119" t="str">
        <x:v>ANAMNESE</x:v>
      </x:c>
      <x:c r="D48" s="119" t="str">
        <x:v>História da doença atual, diagnósticos, tratamentos, internações, cirurgias e suporte terapêutico.</x:v>
      </x:c>
      <x:c r="E48" s="119" t="str">
        <x:v>Parcial</x:v>
      </x:c>
      <x:c r="F48" s="120" t="n">
        <x:f>IF(E48="Implementado",1,IF(E48="Parcial",0.5,0))</x:f>
        <x:v>0.5</x:v>
      </x:c>
      <x:c r="G48" s="119" t="str">
        <x:v>src/nutri_app/ui/anamnesis_form.py; src/nutri_app/ui/pages/anamnesis_page.py; src/nutri_app/repositories/anamnesis_repository.py; tests/test_anamnesis_repository.py</x:v>
      </x:c>
      <x:c r="H48" s="119" t="str">
        <x:v>Faltam dados clínicos estruturados mais completos, interações, reações/alergias com destaque transversal e lógica condicional versionada.</x:v>
      </x:c>
      <x:c r="I48" s="119" t="str">
        <x:v>P0</x:v>
      </x:c>
      <x:c r="J48" s="119" t="str">
        <x:v>Média</x:v>
      </x:c>
      <x:c r="K48" s="1"/>
    </x:row>
    <x:row r="49" ht="36" hidden="0" customHeight="1">
      <x:c r="A49" s="119" t="str">
        <x:v>RF-M04-02</x:v>
      </x:c>
      <x:c r="B49" s="119" t="str">
        <x:v>Funcional</x:v>
      </x:c>
      <x:c r="C49" s="119" t="str">
        <x:v>ANAMNESE</x:v>
      </x:c>
      <x:c r="D49" s="119" t="str">
        <x:v>Comorbidades, antecedentes familiares, medicamentos, suplementos e possíveis interações relevantes.</x:v>
      </x:c>
      <x:c r="E49" s="119" t="str">
        <x:v>Parcial</x:v>
      </x:c>
      <x:c r="F49" s="120" t="n">
        <x:f>IF(E49="Implementado",1,IF(E49="Parcial",0.5,0))</x:f>
        <x:v>0.5</x:v>
      </x:c>
      <x:c r="G49" s="119" t="str">
        <x:v>src/nutri_app/ui/anamnesis_form.py; src/nutri_app/ui/pages/anamnesis_page.py; src/nutri_app/repositories/anamnesis_repository.py; tests/test_anamnesis_repository.py</x:v>
      </x:c>
      <x:c r="H49" s="119" t="str">
        <x:v>Faltam dados clínicos estruturados mais completos, interações, reações/alergias com destaque transversal e lógica condicional versionada.</x:v>
      </x:c>
      <x:c r="I49" s="119" t="str">
        <x:v>P0</x:v>
      </x:c>
      <x:c r="J49" s="119" t="str">
        <x:v>Média</x:v>
      </x:c>
      <x:c r="K49" s="1"/>
    </x:row>
    <x:row r="50" ht="36" hidden="0" customHeight="1">
      <x:c r="A50" s="119" t="str">
        <x:v>RF-M04-03</x:v>
      </x:c>
      <x:c r="B50" s="119" t="str">
        <x:v>Funcional</x:v>
      </x:c>
      <x:c r="C50" s="119" t="str">
        <x:v>ANAMNESE</x:v>
      </x:c>
      <x:c r="D50" s="119" t="str">
        <x:v>Sintomas gastrointestinais e sinais relacionados à alimentação com frequência, duração e intensidade.</x:v>
      </x:c>
      <x:c r="E50" s="119" t="str">
        <x:v>Parcial</x:v>
      </x:c>
      <x:c r="F50" s="120" t="n">
        <x:f>IF(E50="Implementado",1,IF(E50="Parcial",0.5,0))</x:f>
        <x:v>0.5</x:v>
      </x:c>
      <x:c r="G50" s="119" t="str">
        <x:v>src/nutri_app/ui/anamnesis_form.py; src/nutri_app/ui/pages/anamnesis_page.py; src/nutri_app/repositories/anamnesis_repository.py; tests/test_anamnesis_repository.py</x:v>
      </x:c>
      <x:c r="H50" s="119" t="str">
        <x:v>Faltam dados clínicos estruturados mais completos, interações, reações/alergias com destaque transversal e lógica condicional versionada.</x:v>
      </x:c>
      <x:c r="I50" s="119" t="str">
        <x:v>P0</x:v>
      </x:c>
      <x:c r="J50" s="119" t="str">
        <x:v>Média</x:v>
      </x:c>
      <x:c r="K50" s="1"/>
    </x:row>
    <x:row r="51" ht="36" hidden="0" customHeight="1">
      <x:c r="A51" s="119" t="str">
        <x:v>RF-M04-04</x:v>
      </x:c>
      <x:c r="B51" s="119" t="str">
        <x:v>Funcional</x:v>
      </x:c>
      <x:c r="C51" s="119" t="str">
        <x:v>ANAMNESE</x:v>
      </x:c>
      <x:c r="D51" s="119" t="str">
        <x:v>Apetite, aceitação, alteração ponderal, rotina alimentar, consumo hídrico, mastigação e necessidades de ajuda.</x:v>
      </x:c>
      <x:c r="E51" s="119" t="str">
        <x:v>Parcial</x:v>
      </x:c>
      <x:c r="F51" s="120" t="n">
        <x:f>IF(E51="Implementado",1,IF(E51="Parcial",0.5,0))</x:f>
        <x:v>0.5</x:v>
      </x:c>
      <x:c r="G51" s="119" t="str">
        <x:v>src/nutri_app/ui/anamnesis_form.py; src/nutri_app/ui/pages/anamnesis_page.py; src/nutri_app/repositories/anamnesis_repository.py; tests/test_anamnesis_repository.py</x:v>
      </x:c>
      <x:c r="H51" s="119" t="str">
        <x:v>Faltam dados clínicos estruturados mais completos, interações, reações/alergias com destaque transversal e lógica condicional versionada.</x:v>
      </x:c>
      <x:c r="I51" s="119" t="str">
        <x:v>P0</x:v>
      </x:c>
      <x:c r="J51" s="119" t="str">
        <x:v>Média</x:v>
      </x:c>
      <x:c r="K51" s="1"/>
    </x:row>
    <x:row r="52" ht="36" hidden="0" customHeight="1">
      <x:c r="A52" s="119" t="str">
        <x:v>RF-M04-05</x:v>
      </x:c>
      <x:c r="B52" s="119" t="str">
        <x:v>Funcional</x:v>
      </x:c>
      <x:c r="C52" s="119" t="str">
        <x:v>ANAMNESE</x:v>
      </x:c>
      <x:c r="D52" s="119" t="str">
        <x:v>Hábitos e estilo de vida: tabagismo, etilismo, atividade física, sono, aspectos sociais e barreiras à adesão.</x:v>
      </x:c>
      <x:c r="E52" s="119" t="str">
        <x:v>Parcial</x:v>
      </x:c>
      <x:c r="F52" s="120" t="n">
        <x:f>IF(E52="Implementado",1,IF(E52="Parcial",0.5,0))</x:f>
        <x:v>0.5</x:v>
      </x:c>
      <x:c r="G52" s="119" t="str">
        <x:v>src/nutri_app/ui/anamnesis_form.py; src/nutri_app/ui/pages/anamnesis_page.py; src/nutri_app/repositories/anamnesis_repository.py; tests/test_anamnesis_repository.py</x:v>
      </x:c>
      <x:c r="H52" s="119" t="str">
        <x:v>Faltam dados clínicos estruturados mais completos, interações, reações/alergias com destaque transversal e lógica condicional versionada.</x:v>
      </x:c>
      <x:c r="I52" s="119" t="str">
        <x:v>P0</x:v>
      </x:c>
      <x:c r="J52" s="119" t="str">
        <x:v>Média</x:v>
      </x:c>
      <x:c r="K52" s="1"/>
    </x:row>
    <x:row r="53" ht="36" hidden="0" customHeight="1">
      <x:c r="A53" s="119" t="str">
        <x:v>RF-M04-06</x:v>
      </x:c>
      <x:c r="B53" s="119" t="str">
        <x:v>Funcional</x:v>
      </x:c>
      <x:c r="C53" s="119" t="str">
        <x:v>ANAMNESE</x:v>
      </x:c>
      <x:c r="D53" s="119" t="str">
        <x:v>Alergias, intolerâncias, restrições, reação associada e destaque de risco no prontuário.</x:v>
      </x:c>
      <x:c r="E53" s="119" t="str">
        <x:v>Parcial</x:v>
      </x:c>
      <x:c r="F53" s="120" t="n">
        <x:f>IF(E53="Implementado",1,IF(E53="Parcial",0.5,0))</x:f>
        <x:v>0.5</x:v>
      </x:c>
      <x:c r="G53" s="119" t="str">
        <x:v>src/nutri_app/ui/anamnesis_form.py; src/nutri_app/ui/pages/anamnesis_page.py; src/nutri_app/repositories/anamnesis_repository.py; tests/test_anamnesis_repository.py</x:v>
      </x:c>
      <x:c r="H53" s="119" t="str">
        <x:v>Faltam dados clínicos estruturados mais completos, interações, reações/alergias com destaque transversal e lógica condicional versionada.</x:v>
      </x:c>
      <x:c r="I53" s="119" t="str">
        <x:v>P0</x:v>
      </x:c>
      <x:c r="J53" s="119" t="str">
        <x:v>Média</x:v>
      </x:c>
      <x:c r="K53" s="1"/>
    </x:row>
    <x:row r="54" ht="36" hidden="0" customHeight="1">
      <x:c r="A54" s="119" t="str">
        <x:v>RF-M04-07</x:v>
      </x:c>
      <x:c r="B54" s="119" t="str">
        <x:v>Funcional</x:v>
      </x:c>
      <x:c r="C54" s="119" t="str">
        <x:v>ANAMNESE</x:v>
      </x:c>
      <x:c r="D54" s="119" t="str">
        <x:v>Resumo automático baseado somente nas respostas, sempre revisável pelo nutricionista.</x:v>
      </x:c>
      <x:c r="E54" s="119" t="str">
        <x:v>Implementado</x:v>
      </x:c>
      <x:c r="F54" s="120" t="n">
        <x:f>IF(E54="Implementado",1,IF(E54="Parcial",0.5,0))</x:f>
        <x:v>1</x:v>
      </x:c>
      <x:c r="G54" s="119" t="str">
        <x:v>src/nutri_app/ui/anamnesis_form.py; src/nutri_app/ui/pages/anamnesis_page.py; src/nutri_app/repositories/anamnesis_repository.py; tests/test_anamnesis_repository.py</x:v>
      </x:c>
      <x:c r="H54" s="119" t="str">
        <x:v>Cobertura identificada no escopo atual; ainda requer validação de uso real quando aplicável.</x:v>
      </x:c>
      <x:c r="I54" s="119" t="str">
        <x:v>—</x:v>
      </x:c>
      <x:c r="J54" s="119" t="str">
        <x:v>Alta</x:v>
      </x:c>
      <x:c r="K54" s="1"/>
    </x:row>
    <x:row r="55" ht="36" hidden="0" customHeight="1">
      <x:c r="A55" s="119" t="str">
        <x:v>RN-M04-01</x:v>
      </x:c>
      <x:c r="B55" s="119" t="str">
        <x:v>Regra de negócio</x:v>
      </x:c>
      <x:c r="C55" s="119" t="str">
        <x:v>ANAMNESE</x:v>
      </x:c>
      <x:c r="D55" s="119" t="str">
        <x:v>Perguntas condicionais devem ocultar campos não aplicáveis sem apagar respostas previamente confirmadas.</x:v>
      </x:c>
      <x:c r="E55" s="119" t="str">
        <x:v>Parcial</x:v>
      </x:c>
      <x:c r="F55" s="120" t="n">
        <x:f>IF(E55="Implementado",1,IF(E55="Parcial",0.5,0))</x:f>
        <x:v>0.5</x:v>
      </x:c>
      <x:c r="G55" s="119" t="str">
        <x:v>src/nutri_app/ui/anamnesis_form.py; src/nutri_app/ui/pages/anamnesis_page.py; src/nutri_app/repositories/anamnesis_repository.py; tests/test_anamnesis_repository.py</x:v>
      </x:c>
      <x:c r="H55" s="119" t="str">
        <x:v>Faltam dados clínicos estruturados mais completos, interações, reações/alergias com destaque transversal e lógica condicional versionada.</x:v>
      </x:c>
      <x:c r="I55" s="119" t="str">
        <x:v>P0</x:v>
      </x:c>
      <x:c r="J55" s="119" t="str">
        <x:v>Média</x:v>
      </x:c>
      <x:c r="K55" s="1"/>
    </x:row>
    <x:row r="56" ht="36" hidden="0" customHeight="1">
      <x:c r="A56" s="119" t="str">
        <x:v>RN-M04-02</x:v>
      </x:c>
      <x:c r="B56" s="119" t="str">
        <x:v>Regra de negócio</x:v>
      </x:c>
      <x:c r="C56" s="119" t="str">
        <x:v>ANAMNESE</x:v>
      </x:c>
      <x:c r="D56" s="119" t="str">
        <x:v>Dados já disponíveis em outro módulo devem ser vinculados em modo leitura, evitando repetição.</x:v>
      </x:c>
      <x:c r="E56" s="119" t="str">
        <x:v>Parcial</x:v>
      </x:c>
      <x:c r="F56" s="120" t="n">
        <x:f>IF(E56="Implementado",1,IF(E56="Parcial",0.5,0))</x:f>
        <x:v>0.5</x:v>
      </x:c>
      <x:c r="G56" s="119" t="str">
        <x:v>src/nutri_app/ui/anamnesis_form.py; src/nutri_app/ui/pages/anamnesis_page.py; src/nutri_app/repositories/anamnesis_repository.py; tests/test_anamnesis_repository.py</x:v>
      </x:c>
      <x:c r="H56" s="119" t="str">
        <x:v>Faltam dados clínicos estruturados mais completos, interações, reações/alergias com destaque transversal e lógica condicional versionada.</x:v>
      </x:c>
      <x:c r="I56" s="119" t="str">
        <x:v>P0</x:v>
      </x:c>
      <x:c r="J56" s="119" t="str">
        <x:v>Média</x:v>
      </x:c>
      <x:c r="K56" s="1"/>
    </x:row>
    <x:row r="57" ht="60" hidden="0" customHeight="1">
      <x:c r="A57" s="119" t="str">
        <x:v>RF-M05-01</x:v>
      </x:c>
      <x:c r="B57" s="119" t="str">
        <x:v>Funcional</x:v>
      </x:c>
      <x:c r="C57" s="119" t="str">
        <x:v>AVALIAÇÃO ANTROPOMÉTRICA</x:v>
      </x:c>
      <x:c r="D57" s="119" t="str">
        <x:v>Peso e altura medidos, informados ou estimados, incluindo peso habitual, seco, ajustado e presença de edema.</x:v>
      </x:c>
      <x:c r="E57" s="119" t="str">
        <x:v>Parcial</x:v>
      </x:c>
      <x:c r="F57" s="120" t="n">
        <x:f>IF(E57="Implementado",1,IF(E57="Parcial",0.5,0))</x:f>
        <x:v>0.5</x:v>
      </x:c>
      <x:c r="G57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57" s="119" t="str">
        <x:v>Faltam metadados de método/equipamento/lado, bioimpedância bruta completa e governança/memória versionada de todas as fórmulas.</x:v>
      </x:c>
      <x:c r="I57" s="119" t="str">
        <x:v>P0</x:v>
      </x:c>
      <x:c r="J57" s="119" t="str">
        <x:v>Média</x:v>
      </x:c>
      <x:c r="K57" s="1"/>
    </x:row>
    <x:row r="58" ht="60" hidden="0" customHeight="1">
      <x:c r="A58" s="119" t="str">
        <x:v>RF-M05-02</x:v>
      </x:c>
      <x:c r="B58" s="119" t="str">
        <x:v>Funcional</x:v>
      </x:c>
      <x:c r="C58" s="119" t="str">
        <x:v>AVALIAÇÃO ANTROPOMÉTRICA</x:v>
      </x:c>
      <x:c r="D58" s="119" t="str">
        <x:v>Circunferências, dobras cutâneas, diâmetros e medidas funcionais com unidade, lado, equipamento e responsável.</x:v>
      </x:c>
      <x:c r="E58" s="119" t="str">
        <x:v>Parcial</x:v>
      </x:c>
      <x:c r="F58" s="120" t="n">
        <x:f>IF(E58="Implementado",1,IF(E58="Parcial",0.5,0))</x:f>
        <x:v>0.5</x:v>
      </x:c>
      <x:c r="G58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58" s="119" t="str">
        <x:v>Faltam metadados de método/equipamento/lado, bioimpedância bruta completa e governança/memória versionada de todas as fórmulas.</x:v>
      </x:c>
      <x:c r="I58" s="119" t="str">
        <x:v>P0</x:v>
      </x:c>
      <x:c r="J58" s="119" t="str">
        <x:v>Média</x:v>
      </x:c>
      <x:c r="K58" s="1"/>
    </x:row>
    <x:row r="59" ht="60" hidden="0" customHeight="1">
      <x:c r="A59" s="119" t="str">
        <x:v>RF-M05-03</x:v>
      </x:c>
      <x:c r="B59" s="119" t="str">
        <x:v>Funcional</x:v>
      </x:c>
      <x:c r="C59" s="119" t="str">
        <x:v>AVALIAÇÃO ANTROPOMÉTRICA</x:v>
      </x:c>
      <x:c r="D59" s="119" t="str">
        <x:v>Bioimpedância com resistência, reactância, ângulo de fase, água corporal, massa gorda e massa livre de gordura.</x:v>
      </x:c>
      <x:c r="E59" s="119" t="str">
        <x:v>Parcial</x:v>
      </x:c>
      <x:c r="F59" s="120" t="n">
        <x:f>IF(E59="Implementado",1,IF(E59="Parcial",0.5,0))</x:f>
        <x:v>0.5</x:v>
      </x:c>
      <x:c r="G59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59" s="119" t="str">
        <x:v>Faltam metadados de método/equipamento/lado, bioimpedância bruta completa e governança/memória versionada de todas as fórmulas.</x:v>
      </x:c>
      <x:c r="I59" s="119" t="str">
        <x:v>P0</x:v>
      </x:c>
      <x:c r="J59" s="119" t="str">
        <x:v>Média</x:v>
      </x:c>
      <x:c r="K59" s="1"/>
    </x:row>
    <x:row r="60" ht="60" hidden="0" customHeight="1">
      <x:c r="A60" s="119" t="str">
        <x:v>RF-M05-04</x:v>
      </x:c>
      <x:c r="B60" s="119" t="str">
        <x:v>Funcional</x:v>
      </x:c>
      <x:c r="C60" s="119" t="str">
        <x:v>AVALIAÇÃO ANTROPOMÉTRICA</x:v>
      </x:c>
      <x:c r="D60" s="119" t="str">
        <x:v>Cálculo de IMC, relação cintura-quadril, relação cintura-estatura, índice de conicidade, CMB, AMB, FMI e FFMI quando aplicável.</x:v>
      </x:c>
      <x:c r="E60" s="119" t="str">
        <x:v>Implementado</x:v>
      </x:c>
      <x:c r="F60" s="120" t="n">
        <x:f>IF(E60="Implementado",1,IF(E60="Parcial",0.5,0))</x:f>
        <x:v>1</x:v>
      </x:c>
      <x:c r="G60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60" s="119" t="str">
        <x:v>Cobertura identificada no escopo atual; ainda requer validação de uso real quando aplicável.</x:v>
      </x:c>
      <x:c r="I60" s="119" t="str">
        <x:v>—</x:v>
      </x:c>
      <x:c r="J60" s="119" t="str">
        <x:v>Alta</x:v>
      </x:c>
      <x:c r="K60" s="1"/>
    </x:row>
    <x:row r="61" ht="60" hidden="0" customHeight="1">
      <x:c r="A61" s="119" t="str">
        <x:v>RF-M05-05</x:v>
      </x:c>
      <x:c r="B61" s="119" t="str">
        <x:v>Funcional</x:v>
      </x:c>
      <x:c r="C61" s="119" t="str">
        <x:v>AVALIAÇÃO ANTROPOMÉTRICA</x:v>
      </x:c>
      <x:c r="D61" s="119" t="str">
        <x:v>Equações de estimativa e composição corporal selecionadas por idade, sexo, condição e protocolo versionado.</x:v>
      </x:c>
      <x:c r="E61" s="119" t="str">
        <x:v>Parcial</x:v>
      </x:c>
      <x:c r="F61" s="120" t="n">
        <x:f>IF(E61="Implementado",1,IF(E61="Parcial",0.5,0))</x:f>
        <x:v>0.5</x:v>
      </x:c>
      <x:c r="G61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61" s="119" t="str">
        <x:v>Faltam metadados de método/equipamento/lado, bioimpedância bruta completa e governança/memória versionada de todas as fórmulas.</x:v>
      </x:c>
      <x:c r="I61" s="119" t="str">
        <x:v>P0</x:v>
      </x:c>
      <x:c r="J61" s="119" t="str">
        <x:v>Média</x:v>
      </x:c>
      <x:c r="K61" s="1"/>
    </x:row>
    <x:row r="62" ht="60" hidden="0" customHeight="1">
      <x:c r="A62" s="119" t="str">
        <x:v>RF-M05-06</x:v>
      </x:c>
      <x:c r="B62" s="119" t="str">
        <x:v>Funcional</x:v>
      </x:c>
      <x:c r="C62" s="119" t="str">
        <x:v>AVALIAÇÃO ANTROPOMÉTRICA</x:v>
      </x:c>
      <x:c r="D62" s="119" t="str">
        <x:v>Classificação automática e gráfico longitudinal, mantendo valores brutos e memória de cálculo.</x:v>
      </x:c>
      <x:c r="E62" s="119" t="str">
        <x:v>Implementado</x:v>
      </x:c>
      <x:c r="F62" s="120" t="n">
        <x:f>IF(E62="Implementado",1,IF(E62="Parcial",0.5,0))</x:f>
        <x:v>1</x:v>
      </x:c>
      <x:c r="G62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62" s="119" t="str">
        <x:v>Cobertura identificada no escopo atual; ainda requer validação de uso real quando aplicável.</x:v>
      </x:c>
      <x:c r="I62" s="119" t="str">
        <x:v>—</x:v>
      </x:c>
      <x:c r="J62" s="119" t="str">
        <x:v>Alta</x:v>
      </x:c>
      <x:c r="K62" s="1"/>
    </x:row>
    <x:row r="63" ht="60" hidden="0" customHeight="1">
      <x:c r="A63" s="119" t="str">
        <x:v>RN-M05-01</x:v>
      </x:c>
      <x:c r="B63" s="119" t="str">
        <x:v>Regra de negócio</x:v>
      </x:c>
      <x:c r="C63" s="119" t="str">
        <x:v>AVALIAÇÃO ANTROPOMÉTRICA</x:v>
      </x:c>
      <x:c r="D63" s="119" t="str">
        <x:v>Toda fórmula deve registrar nome, versão, fonte, entradas, resultado e arredondamento.</x:v>
      </x:c>
      <x:c r="E63" s="119" t="str">
        <x:v>Parcial</x:v>
      </x:c>
      <x:c r="F63" s="120" t="n">
        <x:f>IF(E63="Implementado",1,IF(E63="Parcial",0.5,0))</x:f>
        <x:v>0.5</x:v>
      </x:c>
      <x:c r="G63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63" s="119" t="str">
        <x:v>Faltam metadados de método/equipamento/lado, bioimpedância bruta completa e governança/memória versionada de todas as fórmulas.</x:v>
      </x:c>
      <x:c r="I63" s="119" t="str">
        <x:v>P0</x:v>
      </x:c>
      <x:c r="J63" s="119" t="str">
        <x:v>Média</x:v>
      </x:c>
      <x:c r="K63" s="1"/>
    </x:row>
    <x:row r="64" ht="60" hidden="0" customHeight="1">
      <x:c r="A64" s="119" t="str">
        <x:v>RN-M05-02</x:v>
      </x:c>
      <x:c r="B64" s="119" t="str">
        <x:v>Regra de negócio</x:v>
      </x:c>
      <x:c r="C64" s="119" t="str">
        <x:v>AVALIAÇÃO ANTROPOMÉTRICA</x:v>
      </x:c>
      <x:c r="D64" s="119" t="str">
        <x:v>Referências pediátricas, geriátricas, gestacionais e especiais exigem validação profissional antes do uso clínico.</x:v>
      </x:c>
      <x:c r="E64" s="119" t="str">
        <x:v>Parcial</x:v>
      </x:c>
      <x:c r="F64" s="120" t="n">
        <x:f>IF(E64="Implementado",1,IF(E64="Parcial",0.5,0))</x:f>
        <x:v>0.5</x:v>
      </x:c>
      <x:c r="G64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64" s="119" t="str">
        <x:v>Faltam metadados de método/equipamento/lado, bioimpedância bruta completa e governança/memória versionada de todas as fórmulas.</x:v>
      </x:c>
      <x:c r="I64" s="119" t="str">
        <x:v>P0</x:v>
      </x:c>
      <x:c r="J64" s="119" t="str">
        <x:v>Média</x:v>
      </x:c>
      <x:c r="K64" s="1"/>
    </x:row>
    <x:row r="65" ht="24" hidden="0" customHeight="1">
      <x:c r="A65" s="119" t="str">
        <x:v>RF-M06-01</x:v>
      </x:c>
      <x:c r="B65" s="119" t="str">
        <x:v>Funcional</x:v>
      </x:c>
      <x:c r="C65" s="119" t="str">
        <x:v>AVALIAÇÃO CLÍNICA</x:v>
      </x:c>
      <x:c r="D65" s="119" t="str">
        <x:v>Estado geral, consciência, desempenho funcional, mobilidade e capacidade para atividades.</x:v>
      </x:c>
      <x:c r="E65" s="119" t="str">
        <x:v>Parcial</x:v>
      </x:c>
      <x:c r="F65" s="120" t="n">
        <x:f>IF(E65="Implementado",1,IF(E65="Parcial",0.5,0))</x:f>
        <x:v>0.5</x:v>
      </x:c>
      <x:c r="G65" s="119" t="str">
        <x:v>src/nutri_app/services/advanced_clinical.py; src/nutri_app/ui/pages/advanced_module_page.py</x:v>
      </x:c>
      <x:c r="H65" s="119" t="str">
        <x:v>Falta módulo dedicado de exame físico nutricional com regiões anatômicas, estados semânticos, imagens, comparação e vínculo formal com diagnóstico/evolução.</x:v>
      </x:c>
      <x:c r="I65" s="119" t="str">
        <x:v>P0</x:v>
      </x:c>
      <x:c r="J65" s="119" t="str">
        <x:v>Média</x:v>
      </x:c>
      <x:c r="K65" s="1"/>
    </x:row>
    <x:row r="66" ht="24" hidden="0" customHeight="1">
      <x:c r="A66" s="119" t="str">
        <x:v>RF-M06-02</x:v>
      </x:c>
      <x:c r="B66" s="119" t="str">
        <x:v>Funcional</x:v>
      </x:c>
      <x:c r="C66" s="119" t="str">
        <x:v>AVALIAÇÃO CLÍNICA</x:v>
      </x:c>
      <x:c r="D66" s="119" t="str">
        <x:v>Edema, ascite, hidratação, balanço hídrico e alterações de volume com localização e graduação.</x:v>
      </x:c>
      <x:c r="E66" s="119" t="str">
        <x:v>Parcial</x:v>
      </x:c>
      <x:c r="F66" s="120" t="n">
        <x:f>IF(E66="Implementado",1,IF(E66="Parcial",0.5,0))</x:f>
        <x:v>0.5</x:v>
      </x:c>
      <x:c r="G66" s="119" t="str">
        <x:v>src/nutri_app/services/advanced_clinical.py; src/nutri_app/ui/pages/advanced_module_page.py</x:v>
      </x:c>
      <x:c r="H66" s="119" t="str">
        <x:v>Falta módulo dedicado de exame físico nutricional com regiões anatômicas, estados semânticos, imagens, comparação e vínculo formal com diagnóstico/evolução.</x:v>
      </x:c>
      <x:c r="I66" s="119" t="str">
        <x:v>P0</x:v>
      </x:c>
      <x:c r="J66" s="119" t="str">
        <x:v>Média</x:v>
      </x:c>
      <x:c r="K66" s="1"/>
    </x:row>
    <x:row r="67" ht="24" hidden="0" customHeight="1">
      <x:c r="A67" s="119" t="str">
        <x:v>RF-M06-03</x:v>
      </x:c>
      <x:c r="B67" s="119" t="str">
        <x:v>Funcional</x:v>
      </x:c>
      <x:c r="C67" s="119" t="str">
        <x:v>AVALIAÇÃO CLÍNICA</x:v>
      </x:c>
      <x:c r="D67" s="119" t="str">
        <x:v>Inspeção de massa muscular e gordura subcutânea por regiões anatômicas e escala configurada.</x:v>
      </x:c>
      <x:c r="E67" s="119" t="str">
        <x:v>Parcial</x:v>
      </x:c>
      <x:c r="F67" s="120" t="n">
        <x:f>IF(E67="Implementado",1,IF(E67="Parcial",0.5,0))</x:f>
        <x:v>0.5</x:v>
      </x:c>
      <x:c r="G67" s="119" t="str">
        <x:v>src/nutri_app/services/advanced_clinical.py; src/nutri_app/ui/pages/advanced_module_page.py</x:v>
      </x:c>
      <x:c r="H67" s="119" t="str">
        <x:v>Falta módulo dedicado de exame físico nutricional com regiões anatômicas, estados semânticos, imagens, comparação e vínculo formal com diagnóstico/evolução.</x:v>
      </x:c>
      <x:c r="I67" s="119" t="str">
        <x:v>P0</x:v>
      </x:c>
      <x:c r="J67" s="119" t="str">
        <x:v>Média</x:v>
      </x:c>
      <x:c r="K67" s="1"/>
    </x:row>
    <x:row r="68" ht="24" hidden="0" customHeight="1">
      <x:c r="A68" s="119" t="str">
        <x:v>RF-M06-04</x:v>
      </x:c>
      <x:c r="B68" s="119" t="str">
        <x:v>Funcional</x:v>
      </x:c>
      <x:c r="C68" s="119" t="str">
        <x:v>AVALIAÇÃO CLÍNICA</x:v>
      </x:c>
      <x:c r="D68" s="119" t="str">
        <x:v>Pele, cabelos, unhas, cavidade oral, dentição, deglutição, feridas e lesões por pressão.</x:v>
      </x:c>
      <x:c r="E68" s="119" t="str">
        <x:v>Parcial</x:v>
      </x:c>
      <x:c r="F68" s="120" t="n">
        <x:f>IF(E68="Implementado",1,IF(E68="Parcial",0.5,0))</x:f>
        <x:v>0.5</x:v>
      </x:c>
      <x:c r="G68" s="119" t="str">
        <x:v>src/nutri_app/services/advanced_clinical.py; src/nutri_app/ui/pages/advanced_module_page.py</x:v>
      </x:c>
      <x:c r="H68" s="119" t="str">
        <x:v>Falta módulo dedicado de exame físico nutricional com regiões anatômicas, estados semânticos, imagens, comparação e vínculo formal com diagnóstico/evolução.</x:v>
      </x:c>
      <x:c r="I68" s="119" t="str">
        <x:v>P0</x:v>
      </x:c>
      <x:c r="J68" s="119" t="str">
        <x:v>Média</x:v>
      </x:c>
      <x:c r="K68" s="1"/>
    </x:row>
    <x:row r="69" ht="36" hidden="0" customHeight="1">
      <x:c r="A69" s="119" t="str">
        <x:v>RF-M06-05</x:v>
      </x:c>
      <x:c r="B69" s="119" t="str">
        <x:v>Funcional</x:v>
      </x:c>
      <x:c r="C69" s="119" t="str">
        <x:v>AVALIAÇÃO CLÍNICA</x:v>
      </x:c>
      <x:c r="D69" s="119" t="str">
        <x:v>Registro de sinais, sintomas, observações, imagens autorizadas e comparação entre avaliações.</x:v>
      </x:c>
      <x:c r="E69" s="119" t="str">
        <x:v>Não identificado</x:v>
      </x:c>
      <x:c r="F69" s="120" t="n">
        <x:f>IF(E69="Implementado",1,IF(E69="Parcial",0.5,0))</x:f>
        <x:v>0</x:v>
      </x:c>
      <x:c r="G69" s="119" t="str">
        <x:v>src/nutri_app/services/advanced_clinical.py; src/nutri_app/ui/pages/advanced_module_page.py</x:v>
      </x:c>
      <x:c r="H69" s="119" t="str">
        <x:v>Não foi identificada evidência suficiente para este requisito. Falta módulo dedicado de exame físico nutricional com regiões anatômicas, estados semânticos, imagens, comparação e vínculo formal com diagnóstico/evolução.</x:v>
      </x:c>
      <x:c r="I69" s="119" t="str">
        <x:v>P0</x:v>
      </x:c>
      <x:c r="J69" s="119" t="str">
        <x:v>Média</x:v>
      </x:c>
      <x:c r="K69" s="1"/>
    </x:row>
    <x:row r="70" ht="24" hidden="0" customHeight="1">
      <x:c r="A70" s="119" t="str">
        <x:v>RF-M06-06</x:v>
      </x:c>
      <x:c r="B70" s="119" t="str">
        <x:v>Funcional</x:v>
      </x:c>
      <x:c r="C70" s="119" t="str">
        <x:v>AVALIAÇÃO CLÍNICA</x:v>
      </x:c>
      <x:c r="D70" s="119" t="str">
        <x:v>Resumo dos achados com destaque visual de gravidade e vínculo com diagnóstico e evolução.</x:v>
      </x:c>
      <x:c r="E70" s="119" t="str">
        <x:v>Parcial</x:v>
      </x:c>
      <x:c r="F70" s="120" t="n">
        <x:f>IF(E70="Implementado",1,IF(E70="Parcial",0.5,0))</x:f>
        <x:v>0.5</x:v>
      </x:c>
      <x:c r="G70" s="119" t="str">
        <x:v>src/nutri_app/services/advanced_clinical.py; src/nutri_app/ui/pages/advanced_module_page.py</x:v>
      </x:c>
      <x:c r="H70" s="119" t="str">
        <x:v>Falta módulo dedicado de exame físico nutricional com regiões anatômicas, estados semânticos, imagens, comparação e vínculo formal com diagnóstico/evolução.</x:v>
      </x:c>
      <x:c r="I70" s="119" t="str">
        <x:v>P0</x:v>
      </x:c>
      <x:c r="J70" s="119" t="str">
        <x:v>Média</x:v>
      </x:c>
      <x:c r="K70" s="1"/>
    </x:row>
    <x:row r="71" ht="24" hidden="0" customHeight="1">
      <x:c r="A71" s="119" t="str">
        <x:v>RN-M06-01</x:v>
      </x:c>
      <x:c r="B71" s="119" t="str">
        <x:v>Regra de negócio</x:v>
      </x:c>
      <x:c r="C71" s="119" t="str">
        <x:v>AVALIAÇÃO CLÍNICA</x:v>
      </x:c>
      <x:c r="D71" s="119" t="str">
        <x:v>O sistema pode classificar conforme protocolo validado, mas não deve criar diagnóstico autônomo.</x:v>
      </x:c>
      <x:c r="E71" s="119" t="str">
        <x:v>Implementado</x:v>
      </x:c>
      <x:c r="F71" s="120" t="n">
        <x:f>IF(E71="Implementado",1,IF(E71="Parcial",0.5,0))</x:f>
        <x:v>1</x:v>
      </x:c>
      <x:c r="G71" s="119" t="str">
        <x:v>src/nutri_app/services/advanced_clinical.py; src/nutri_app/ui/pages/advanced_module_page.py</x:v>
      </x:c>
      <x:c r="H71" s="119" t="str">
        <x:v>Cobertura identificada no escopo atual; ainda requer validação de uso real quando aplicável.</x:v>
      </x:c>
      <x:c r="I71" s="119" t="str">
        <x:v>—</x:v>
      </x:c>
      <x:c r="J71" s="119" t="str">
        <x:v>Alta</x:v>
      </x:c>
      <x:c r="K71" s="1"/>
    </x:row>
    <x:row r="72" ht="24" hidden="0" customHeight="1">
      <x:c r="A72" s="119" t="str">
        <x:v>RN-M06-02</x:v>
      </x:c>
      <x:c r="B72" s="119" t="str">
        <x:v>Regra de negócio</x:v>
      </x:c>
      <x:c r="C72" s="119" t="str">
        <x:v>AVALIAÇÃO CLÍNICA</x:v>
      </x:c>
      <x:c r="D72" s="119" t="str">
        <x:v>Achados ausentes, não avaliados e não aplicáveis devem ser estados distintos.</x:v>
      </x:c>
      <x:c r="E72" s="119" t="str">
        <x:v>Parcial</x:v>
      </x:c>
      <x:c r="F72" s="120" t="n">
        <x:f>IF(E72="Implementado",1,IF(E72="Parcial",0.5,0))</x:f>
        <x:v>0.5</x:v>
      </x:c>
      <x:c r="G72" s="119" t="str">
        <x:v>src/nutri_app/services/advanced_clinical.py; src/nutri_app/ui/pages/advanced_module_page.py</x:v>
      </x:c>
      <x:c r="H72" s="119" t="str">
        <x:v>Falta módulo dedicado de exame físico nutricional com regiões anatômicas, estados semânticos, imagens, comparação e vínculo formal com diagnóstico/evolução.</x:v>
      </x:c>
      <x:c r="I72" s="119" t="str">
        <x:v>P0</x:v>
      </x:c>
      <x:c r="J72" s="119" t="str">
        <x:v>Média</x:v>
      </x:c>
      <x:c r="K72" s="1"/>
    </x:row>
    <x:row r="73" ht="48" hidden="0" customHeight="1">
      <x:c r="A73" s="119" t="str">
        <x:v>RF-M07-01</x:v>
      </x:c>
      <x:c r="B73" s="119" t="str">
        <x:v>Funcional</x:v>
      </x:c>
      <x:c r="C73" s="119" t="str">
        <x:v>EXAMES LABORATORIAIS</x:v>
      </x:c>
      <x:c r="D73" s="119" t="str">
        <x:v>Painéis hematológico, glicêmico, lipídico, renal, hepático, inflamatório, eletrolítico, mineral, vitamínico e personalizados.</x:v>
      </x:c>
      <x:c r="E73" s="119" t="str">
        <x:v>Parcial</x:v>
      </x:c>
      <x:c r="F73" s="120" t="n">
        <x:f>IF(E73="Implementado",1,IF(E73="Parcial",0.5,0))</x:f>
        <x:v>0.5</x:v>
      </x:c>
      <x:c r="G73" s="119" t="str">
        <x:v>src/nutri_app/ui/pages/laboratory_exams_page.py; src/nutri_app/repositories/laboratory_exam_repository.py; src/nutri_app/services/integration.py; tests/test_laboratory_exam.py; tests/test_integrations.py</x:v>
      </x:c>
      <x:c r="H73" s="119" t="str">
        <x:v>Faltam painéis completos, anexos, referências versionadas por perfil, deduplicação robusta e correções por nova versão imutável.</x:v>
      </x:c>
      <x:c r="I73" s="119" t="str">
        <x:v>P0</x:v>
      </x:c>
      <x:c r="J73" s="119" t="str">
        <x:v>Média</x:v>
      </x:c>
      <x:c r="K73" s="1"/>
    </x:row>
    <x:row r="74" ht="48" hidden="0" customHeight="1">
      <x:c r="A74" s="119" t="str">
        <x:v>RF-M07-02</x:v>
      </x:c>
      <x:c r="B74" s="119" t="str">
        <x:v>Funcional</x:v>
      </x:c>
      <x:c r="C74" s="119" t="str">
        <x:v>EXAMES LABORATORIAIS</x:v>
      </x:c>
      <x:c r="D74" s="119" t="str">
        <x:v>Registro de exame, data, laboratório, amostra, resultado, unidade, faixa de referência, observação e anexo.</x:v>
      </x:c>
      <x:c r="E74" s="119" t="str">
        <x:v>Parcial</x:v>
      </x:c>
      <x:c r="F74" s="120" t="n">
        <x:f>IF(E74="Implementado",1,IF(E74="Parcial",0.5,0))</x:f>
        <x:v>0.5</x:v>
      </x:c>
      <x:c r="G74" s="119" t="str">
        <x:v>src/nutri_app/ui/pages/laboratory_exams_page.py; src/nutri_app/repositories/laboratory_exam_repository.py; src/nutri_app/services/integration.py; tests/test_laboratory_exam.py; tests/test_integrations.py</x:v>
      </x:c>
      <x:c r="H74" s="119" t="str">
        <x:v>Faltam painéis completos, anexos, referências versionadas por perfil, deduplicação robusta e correções por nova versão imutável.</x:v>
      </x:c>
      <x:c r="I74" s="119" t="str">
        <x:v>P0</x:v>
      </x:c>
      <x:c r="J74" s="119" t="str">
        <x:v>Média</x:v>
      </x:c>
      <x:c r="K74" s="1"/>
    </x:row>
    <x:row r="75" ht="48" hidden="0" customHeight="1">
      <x:c r="A75" s="119" t="str">
        <x:v>RF-M07-03</x:v>
      </x:c>
      <x:c r="B75" s="119" t="str">
        <x:v>Funcional</x:v>
      </x:c>
      <x:c r="C75" s="119" t="str">
        <x:v>EXAMES LABORATORIAIS</x:v>
      </x:c>
      <x:c r="D75" s="119" t="str">
        <x:v>Importação manual, CSV/JSON e integração homologada com validação de paciente, unidade e duplicidade.</x:v>
      </x:c>
      <x:c r="E75" s="119" t="str">
        <x:v>Parcial</x:v>
      </x:c>
      <x:c r="F75" s="120" t="n">
        <x:f>IF(E75="Implementado",1,IF(E75="Parcial",0.5,0))</x:f>
        <x:v>0.5</x:v>
      </x:c>
      <x:c r="G75" s="119" t="str">
        <x:v>src/nutri_app/ui/pages/laboratory_exams_page.py; src/nutri_app/repositories/laboratory_exam_repository.py; src/nutri_app/services/integration.py; tests/test_laboratory_exam.py; tests/test_integrations.py</x:v>
      </x:c>
      <x:c r="H75" s="119" t="str">
        <x:v>Faltam painéis completos, anexos, referências versionadas por perfil, deduplicação robusta e correções por nova versão imutável.</x:v>
      </x:c>
      <x:c r="I75" s="119" t="str">
        <x:v>P0</x:v>
      </x:c>
      <x:c r="J75" s="119" t="str">
        <x:v>Média</x:v>
      </x:c>
      <x:c r="K75" s="1"/>
    </x:row>
    <x:row r="76" ht="48" hidden="0" customHeight="1">
      <x:c r="A76" s="119" t="str">
        <x:v>RF-M07-04</x:v>
      </x:c>
      <x:c r="B76" s="119" t="str">
        <x:v>Funcional</x:v>
      </x:c>
      <x:c r="C76" s="119" t="str">
        <x:v>EXAMES LABORATORIAIS</x:v>
      </x:c>
      <x:c r="D76" s="119" t="str">
        <x:v>Referências versionadas por laboratório, método, sexo, idade, gestação e condição clínica.</x:v>
      </x:c>
      <x:c r="E76" s="119" t="str">
        <x:v>Não identificado</x:v>
      </x:c>
      <x:c r="F76" s="120" t="n">
        <x:f>IF(E76="Implementado",1,IF(E76="Parcial",0.5,0))</x:f>
        <x:v>0</x:v>
      </x:c>
      <x:c r="G76" s="119" t="str">
        <x:v>src/nutri_app/ui/pages/laboratory_exams_page.py; src/nutri_app/repositories/laboratory_exam_repository.py; src/nutri_app/services/integration.py; tests/test_laboratory_exam.py; tests/test_integrations.py</x:v>
      </x:c>
      <x:c r="H76" s="119" t="str">
        <x:v>Não foi identificada evidência suficiente para este requisito. Faltam painéis completos, anexos, referências versionadas por perfil, deduplicação robusta e correções por nova versão imutável.</x:v>
      </x:c>
      <x:c r="I76" s="119" t="str">
        <x:v>P0</x:v>
      </x:c>
      <x:c r="J76" s="119" t="str">
        <x:v>Média</x:v>
      </x:c>
      <x:c r="K76" s="1"/>
    </x:row>
    <x:row r="77" ht="48" hidden="0" customHeight="1">
      <x:c r="A77" s="119" t="str">
        <x:v>RF-M07-05</x:v>
      </x:c>
      <x:c r="B77" s="119" t="str">
        <x:v>Funcional</x:v>
      </x:c>
      <x:c r="C77" s="119" t="str">
        <x:v>EXAMES LABORATORIAIS</x:v>
      </x:c>
      <x:c r="D77" s="119" t="str">
        <x:v>Sinalização de resultado abaixo, dentro, acima ou crítico e gráfico de evolução por marcador.</x:v>
      </x:c>
      <x:c r="E77" s="119" t="str">
        <x:v>Implementado</x:v>
      </x:c>
      <x:c r="F77" s="120" t="n">
        <x:f>IF(E77="Implementado",1,IF(E77="Parcial",0.5,0))</x:f>
        <x:v>1</x:v>
      </x:c>
      <x:c r="G77" s="119" t="str">
        <x:v>src/nutri_app/ui/pages/laboratory_exams_page.py; src/nutri_app/repositories/laboratory_exam_repository.py; src/nutri_app/services/integration.py; tests/test_laboratory_exam.py; tests/test_integrations.py</x:v>
      </x:c>
      <x:c r="H77" s="119" t="str">
        <x:v>Cobertura identificada no escopo atual; ainda requer validação de uso real quando aplicável.</x:v>
      </x:c>
      <x:c r="I77" s="119" t="str">
        <x:v>—</x:v>
      </x:c>
      <x:c r="J77" s="119" t="str">
        <x:v>Alta</x:v>
      </x:c>
      <x:c r="K77" s="1"/>
    </x:row>
    <x:row r="78" ht="48" hidden="0" customHeight="1">
      <x:c r="A78" s="119" t="str">
        <x:v>RF-M07-06</x:v>
      </x:c>
      <x:c r="B78" s="119" t="str">
        <x:v>Funcional</x:v>
      </x:c>
      <x:c r="C78" s="119" t="str">
        <x:v>EXAMES LABORATORIAIS</x:v>
      </x:c>
      <x:c r="D78" s="119" t="str">
        <x:v>Comparação por períodos e disponibilidade dos resultados para avaliação, diagnóstico, evolução e relatórios.</x:v>
      </x:c>
      <x:c r="E78" s="119" t="str">
        <x:v>Parcial</x:v>
      </x:c>
      <x:c r="F78" s="120" t="n">
        <x:f>IF(E78="Implementado",1,IF(E78="Parcial",0.5,0))</x:f>
        <x:v>0.5</x:v>
      </x:c>
      <x:c r="G78" s="119" t="str">
        <x:v>src/nutri_app/ui/pages/laboratory_exams_page.py; src/nutri_app/repositories/laboratory_exam_repository.py; src/nutri_app/services/integration.py; tests/test_laboratory_exam.py; tests/test_integrations.py</x:v>
      </x:c>
      <x:c r="H78" s="119" t="str">
        <x:v>Faltam painéis completos, anexos, referências versionadas por perfil, deduplicação robusta e correções por nova versão imutável.</x:v>
      </x:c>
      <x:c r="I78" s="119" t="str">
        <x:v>P0</x:v>
      </x:c>
      <x:c r="J78" s="119" t="str">
        <x:v>Média</x:v>
      </x:c>
      <x:c r="K78" s="1"/>
    </x:row>
    <x:row r="79" ht="48" hidden="0" customHeight="1">
      <x:c r="A79" s="119" t="str">
        <x:v>RN-M07-01</x:v>
      </x:c>
      <x:c r="B79" s="119" t="str">
        <x:v>Regra de negócio</x:v>
      </x:c>
      <x:c r="C79" s="119" t="str">
        <x:v>EXAMES LABORATORIAIS</x:v>
      </x:c>
      <x:c r="D79" s="119" t="str">
        <x:v>Não converter unidades nem inferir criticidade sem regra validada e memória de cálculo.</x:v>
      </x:c>
      <x:c r="E79" s="119" t="str">
        <x:v>Parcial</x:v>
      </x:c>
      <x:c r="F79" s="120" t="n">
        <x:f>IF(E79="Implementado",1,IF(E79="Parcial",0.5,0))</x:f>
        <x:v>0.5</x:v>
      </x:c>
      <x:c r="G79" s="119" t="str">
        <x:v>src/nutri_app/ui/pages/laboratory_exams_page.py; src/nutri_app/repositories/laboratory_exam_repository.py; src/nutri_app/services/integration.py; tests/test_laboratory_exam.py; tests/test_integrations.py</x:v>
      </x:c>
      <x:c r="H79" s="119" t="str">
        <x:v>Faltam painéis completos, anexos, referências versionadas por perfil, deduplicação robusta e correções por nova versão imutável.</x:v>
      </x:c>
      <x:c r="I79" s="119" t="str">
        <x:v>P0</x:v>
      </x:c>
      <x:c r="J79" s="119" t="str">
        <x:v>Média</x:v>
      </x:c>
      <x:c r="K79" s="1"/>
    </x:row>
    <x:row r="80" ht="48" hidden="0" customHeight="1">
      <x:c r="A80" s="119" t="str">
        <x:v>RN-M07-02</x:v>
      </x:c>
      <x:c r="B80" s="119" t="str">
        <x:v>Regra de negócio</x:v>
      </x:c>
      <x:c r="C80" s="119" t="str">
        <x:v>EXAMES LABORATORIAIS</x:v>
      </x:c>
      <x:c r="D80" s="119" t="str">
        <x:v>Resultado original importado deve permanecer imutável; correções são registradas como nova versão.</x:v>
      </x:c>
      <x:c r="E80" s="119" t="str">
        <x:v>Não identificado</x:v>
      </x:c>
      <x:c r="F80" s="120" t="n">
        <x:f>IF(E80="Implementado",1,IF(E80="Parcial",0.5,0))</x:f>
        <x:v>0</x:v>
      </x:c>
      <x:c r="G80" s="119" t="str">
        <x:v>src/nutri_app/ui/pages/laboratory_exams_page.py; src/nutri_app/repositories/laboratory_exam_repository.py; src/nutri_app/services/integration.py; tests/test_laboratory_exam.py; tests/test_integrations.py</x:v>
      </x:c>
      <x:c r="H80" s="119" t="str">
        <x:v>Não foi identificada evidência suficiente para este requisito. Faltam painéis completos, anexos, referências versionadas por perfil, deduplicação robusta e correções por nova versão imutável.</x:v>
      </x:c>
      <x:c r="I80" s="119" t="str">
        <x:v>P0</x:v>
      </x:c>
      <x:c r="J80" s="119" t="str">
        <x:v>Média</x:v>
      </x:c>
      <x:c r="K80" s="1"/>
    </x:row>
    <x:row r="81" ht="24" hidden="0" customHeight="1">
      <x:c r="A81" s="119" t="str">
        <x:v>RF-M08-01</x:v>
      </x:c>
      <x:c r="B81" s="119" t="str">
        <x:v>Funcional</x:v>
      </x:c>
      <x:c r="C81" s="119" t="str">
        <x:v>AVALIAÇÃO DIETÉTICA</x:v>
      </x:c>
      <x:c r="D81" s="119" t="str">
        <x:v>Rotina de refeições, local, companhia, preparo, ritmo, mastigação e disponibilidade de alimentos.</x:v>
      </x:c>
      <x:c r="E81" s="119" t="str">
        <x:v>Parcial</x:v>
      </x:c>
      <x:c r="F81" s="120" t="n">
        <x:f>IF(E81="Implementado",1,IF(E81="Parcial",0.5,0))</x:f>
        <x:v>0.5</x:v>
      </x:c>
      <x:c r="G81" s="119" t="str">
        <x:v>src/nutri_app/ui/anamnesis_form.py; database/schema.sql</x:v>
      </x:c>
      <x:c r="H81" s="119" t="str">
        <x:v>Não há módulo dietético próprio com frequência por grupos, aceitação hospitalar e resumo qualitativo estruturado.</x:v>
      </x:c>
      <x:c r="I81" s="119" t="str">
        <x:v>P1</x:v>
      </x:c>
      <x:c r="J81" s="119" t="str">
        <x:v>Média</x:v>
      </x:c>
      <x:c r="K81" s="1"/>
    </x:row>
    <x:row r="82" ht="24" hidden="0" customHeight="1">
      <x:c r="A82" s="119" t="str">
        <x:v>RF-M08-02</x:v>
      </x:c>
      <x:c r="B82" s="119" t="str">
        <x:v>Funcional</x:v>
      </x:c>
      <x:c r="C82" s="119" t="str">
        <x:v>AVALIAÇÃO DIETÉTICA</x:v>
      </x:c>
      <x:c r="D82" s="119" t="str">
        <x:v>Preferências, aversões, restrições culturais ou religiosas, alergias vinculadas e consistência tolerada.</x:v>
      </x:c>
      <x:c r="E82" s="119" t="str">
        <x:v>Parcial</x:v>
      </x:c>
      <x:c r="F82" s="120" t="n">
        <x:f>IF(E82="Implementado",1,IF(E82="Parcial",0.5,0))</x:f>
        <x:v>0.5</x:v>
      </x:c>
      <x:c r="G82" s="119" t="str">
        <x:v>src/nutri_app/ui/anamnesis_form.py; database/schema.sql</x:v>
      </x:c>
      <x:c r="H82" s="119" t="str">
        <x:v>Não há módulo dietético próprio com frequência por grupos, aceitação hospitalar e resumo qualitativo estruturado.</x:v>
      </x:c>
      <x:c r="I82" s="119" t="str">
        <x:v>P1</x:v>
      </x:c>
      <x:c r="J82" s="119" t="str">
        <x:v>Média</x:v>
      </x:c>
      <x:c r="K82" s="1"/>
    </x:row>
    <x:row r="83" ht="24" hidden="0" customHeight="1">
      <x:c r="A83" s="119" t="str">
        <x:v>RF-M08-03</x:v>
      </x:c>
      <x:c r="B83" s="119" t="str">
        <x:v>Funcional</x:v>
      </x:c>
      <x:c r="C83" s="119" t="str">
        <x:v>AVALIAÇÃO DIETÉTICA</x:v>
      </x:c>
      <x:c r="D83" s="119" t="str">
        <x:v>Frequência por grupos alimentares, consumo hídrico, bebidas, ultraprocessados e suplementos.</x:v>
      </x:c>
      <x:c r="E83" s="119" t="str">
        <x:v>Parcial</x:v>
      </x:c>
      <x:c r="F83" s="120" t="n">
        <x:f>IF(E83="Implementado",1,IF(E83="Parcial",0.5,0))</x:f>
        <x:v>0.5</x:v>
      </x:c>
      <x:c r="G83" s="119" t="str">
        <x:v>src/nutri_app/ui/anamnesis_form.py; database/schema.sql</x:v>
      </x:c>
      <x:c r="H83" s="119" t="str">
        <x:v>Não há módulo dietético próprio com frequência por grupos, aceitação hospitalar e resumo qualitativo estruturado.</x:v>
      </x:c>
      <x:c r="I83" s="119" t="str">
        <x:v>P1</x:v>
      </x:c>
      <x:c r="J83" s="119" t="str">
        <x:v>Média</x:v>
      </x:c>
      <x:c r="K83" s="1"/>
    </x:row>
    <x:row r="84" ht="24" hidden="0" customHeight="1">
      <x:c r="A84" s="119" t="str">
        <x:v>RF-M08-04</x:v>
      </x:c>
      <x:c r="B84" s="119" t="str">
        <x:v>Funcional</x:v>
      </x:c>
      <x:c r="C84" s="119" t="str">
        <x:v>AVALIAÇÃO DIETÉTICA</x:v>
      </x:c>
      <x:c r="D84" s="119" t="str">
        <x:v>Aceitação alimentar hospitalar, motivos de baixa ingestão e necessidade de assistência.</x:v>
      </x:c>
      <x:c r="E84" s="119" t="str">
        <x:v>Parcial</x:v>
      </x:c>
      <x:c r="F84" s="120" t="n">
        <x:f>IF(E84="Implementado",1,IF(E84="Parcial",0.5,0))</x:f>
        <x:v>0.5</x:v>
      </x:c>
      <x:c r="G84" s="119" t="str">
        <x:v>src/nutri_app/ui/anamnesis_form.py; database/schema.sql</x:v>
      </x:c>
      <x:c r="H84" s="119" t="str">
        <x:v>Não há módulo dietético próprio com frequência por grupos, aceitação hospitalar e resumo qualitativo estruturado.</x:v>
      </x:c>
      <x:c r="I84" s="119" t="str">
        <x:v>P1</x:v>
      </x:c>
      <x:c r="J84" s="119" t="str">
        <x:v>Média</x:v>
      </x:c>
      <x:c r="K84" s="1"/>
    </x:row>
    <x:row r="85" ht="24" hidden="0" customHeight="1">
      <x:c r="A85" s="119" t="str">
        <x:v>RF-M08-05</x:v>
      </x:c>
      <x:c r="B85" s="119" t="str">
        <x:v>Funcional</x:v>
      </x:c>
      <x:c r="C85" s="119" t="str">
        <x:v>AVALIAÇÃO DIETÉTICA</x:v>
      </x:c>
      <x:c r="D85" s="119" t="str">
        <x:v>Avaliação qualitativa e resumo editável com fatores favoráveis, riscos e oportunidades.</x:v>
      </x:c>
      <x:c r="E85" s="119" t="str">
        <x:v>Parcial</x:v>
      </x:c>
      <x:c r="F85" s="120" t="n">
        <x:f>IF(E85="Implementado",1,IF(E85="Parcial",0.5,0))</x:f>
        <x:v>0.5</x:v>
      </x:c>
      <x:c r="G85" s="119" t="str">
        <x:v>src/nutri_app/ui/anamnesis_form.py; database/schema.sql</x:v>
      </x:c>
      <x:c r="H85" s="119" t="str">
        <x:v>Não há módulo dietético próprio com frequência por grupos, aceitação hospitalar e resumo qualitativo estruturado.</x:v>
      </x:c>
      <x:c r="I85" s="119" t="str">
        <x:v>P1</x:v>
      </x:c>
      <x:c r="J85" s="119" t="str">
        <x:v>Média</x:v>
      </x:c>
      <x:c r="K85" s="1"/>
    </x:row>
    <x:row r="86" ht="24" hidden="0" customHeight="1">
      <x:c r="A86" s="119" t="str">
        <x:v>RN-M08-01</x:v>
      </x:c>
      <x:c r="B86" s="119" t="str">
        <x:v>Regra de negócio</x:v>
      </x:c>
      <x:c r="C86" s="119" t="str">
        <x:v>AVALIAÇÃO DIETÉTICA</x:v>
      </x:c>
      <x:c r="D86" s="119" t="str">
        <x:v>O módulo descreve hábitos e qualidade; quantificação detalhada pertence ao Recordatório Alimentar.</x:v>
      </x:c>
      <x:c r="E86" s="119" t="str">
        <x:v>Parcial</x:v>
      </x:c>
      <x:c r="F86" s="120" t="n">
        <x:f>IF(E86="Implementado",1,IF(E86="Parcial",0.5,0))</x:f>
        <x:v>0.5</x:v>
      </x:c>
      <x:c r="G86" s="119" t="str">
        <x:v>src/nutri_app/ui/anamnesis_form.py; database/schema.sql</x:v>
      </x:c>
      <x:c r="H86" s="119" t="str">
        <x:v>Não há módulo dietético próprio com frequência por grupos, aceitação hospitalar e resumo qualitativo estruturado.</x:v>
      </x:c>
      <x:c r="I86" s="119" t="str">
        <x:v>P1</x:v>
      </x:c>
      <x:c r="J86" s="119" t="str">
        <x:v>Média</x:v>
      </x:c>
      <x:c r="K86" s="1"/>
    </x:row>
    <x:row r="87" ht="24" hidden="0" customHeight="1">
      <x:c r="A87" s="119" t="str">
        <x:v>RN-M08-02</x:v>
      </x:c>
      <x:c r="B87" s="119" t="str">
        <x:v>Regra de negócio</x:v>
      </x:c>
      <x:c r="C87" s="119" t="str">
        <x:v>AVALIAÇÃO DIETÉTICA</x:v>
      </x:c>
      <x:c r="D87" s="119" t="str">
        <x:v>Campos repetidos da anamnese devem ser exibidos por vínculo e não recadastrados.</x:v>
      </x:c>
      <x:c r="E87" s="119" t="str">
        <x:v>Parcial</x:v>
      </x:c>
      <x:c r="F87" s="120" t="n">
        <x:f>IF(E87="Implementado",1,IF(E87="Parcial",0.5,0))</x:f>
        <x:v>0.5</x:v>
      </x:c>
      <x:c r="G87" s="119" t="str">
        <x:v>src/nutri_app/ui/anamnesis_form.py; database/schema.sql</x:v>
      </x:c>
      <x:c r="H87" s="119" t="str">
        <x:v>Não há módulo dietético próprio com frequência por grupos, aceitação hospitalar e resumo qualitativo estruturado.</x:v>
      </x:c>
      <x:c r="I87" s="119" t="str">
        <x:v>P1</x:v>
      </x:c>
      <x:c r="J87" s="119" t="str">
        <x:v>Média</x:v>
      </x:c>
      <x:c r="K87" s="1"/>
    </x:row>
    <x:row r="88" ht="24" hidden="0" customHeight="1">
      <x:c r="A88" s="119" t="str">
        <x:v>RF-M09-01</x:v>
      </x:c>
      <x:c r="B88" s="119" t="str">
        <x:v>Funcional</x:v>
      </x:c>
      <x:c r="C88" s="119" t="str">
        <x:v>RECORDATÓRIO ALIMENTAR</x:v>
      </x:c>
      <x:c r="D88" s="119" t="str">
        <x:v>Recordatório de 24, 48 ou 72 horas e período personalizado, organizado por dia, refeição e horário.</x:v>
      </x:c>
      <x:c r="E88" s="119" t="str">
        <x:v>Não identificado</x:v>
      </x:c>
      <x:c r="F88" s="120" t="n">
        <x:f>IF(E88="Implementado",1,IF(E88="Parcial",0.5,0))</x:f>
        <x:v>0</x:v>
      </x:c>
      <x:c r="G88" s="119" t="str">
        <x:v>src/nutri_app/ui/main_window.py; database/schema.sql</x:v>
      </x:c>
      <x:c r="H88" s="119" t="str">
        <x:v>Não foi identificada evidência suficiente para este requisito. Não foi identificado recordatório alimentar de 24/48/72 h, consumo efetivo, sobras, sintomas e comparação com metas.</x:v>
      </x:c>
      <x:c r="I88" s="119" t="str">
        <x:v>P1</x:v>
      </x:c>
      <x:c r="J88" s="119" t="str">
        <x:v>Média</x:v>
      </x:c>
      <x:c r="K88" s="1"/>
    </x:row>
    <x:row r="89" ht="24" hidden="0" customHeight="1">
      <x:c r="A89" s="119" t="str">
        <x:v>RF-M09-02</x:v>
      </x:c>
      <x:c r="B89" s="119" t="str">
        <x:v>Funcional</x:v>
      </x:c>
      <x:c r="C89" s="119" t="str">
        <x:v>RECORDATÓRIO ALIMENTAR</x:v>
      </x:c>
      <x:c r="D89" s="119" t="str">
        <x:v>Busca no banco de alimentos e receitas, medidas caseiras, gramas/mL e descrição de preparo.</x:v>
      </x:c>
      <x:c r="E89" s="119" t="str">
        <x:v>Não identificado</x:v>
      </x:c>
      <x:c r="F89" s="120" t="n">
        <x:f>IF(E89="Implementado",1,IF(E89="Parcial",0.5,0))</x:f>
        <x:v>0</x:v>
      </x:c>
      <x:c r="G89" s="119" t="str">
        <x:v>src/nutri_app/ui/main_window.py; database/schema.sql</x:v>
      </x:c>
      <x:c r="H89" s="119" t="str">
        <x:v>Não foi identificada evidência suficiente para este requisito. Não foi identificado recordatório alimentar de 24/48/72 h, consumo efetivo, sobras, sintomas e comparação com metas.</x:v>
      </x:c>
      <x:c r="I89" s="119" t="str">
        <x:v>P1</x:v>
      </x:c>
      <x:c r="J89" s="119" t="str">
        <x:v>Média</x:v>
      </x:c>
      <x:c r="K89" s="1"/>
    </x:row>
    <x:row r="90" ht="24" hidden="0" customHeight="1">
      <x:c r="A90" s="119" t="str">
        <x:v>RF-M09-03</x:v>
      </x:c>
      <x:c r="B90" s="119" t="str">
        <x:v>Funcional</x:v>
      </x:c>
      <x:c r="C90" s="119" t="str">
        <x:v>RECORDATÓRIO ALIMENTAR</x:v>
      </x:c>
      <x:c r="D90" s="119" t="str">
        <x:v>Cálculo de energia, macronutrientes, fibras, água e micronutrientes disponíveis.</x:v>
      </x:c>
      <x:c r="E90" s="119" t="str">
        <x:v>Não identificado</x:v>
      </x:c>
      <x:c r="F90" s="120" t="n">
        <x:f>IF(E90="Implementado",1,IF(E90="Parcial",0.5,0))</x:f>
        <x:v>0</x:v>
      </x:c>
      <x:c r="G90" s="119" t="str">
        <x:v>src/nutri_app/ui/main_window.py; database/schema.sql</x:v>
      </x:c>
      <x:c r="H90" s="119" t="str">
        <x:v>Não foi identificada evidência suficiente para este requisito. Não foi identificado recordatório alimentar de 24/48/72 h, consumo efetivo, sobras, sintomas e comparação com metas.</x:v>
      </x:c>
      <x:c r="I90" s="119" t="str">
        <x:v>P1</x:v>
      </x:c>
      <x:c r="J90" s="119" t="str">
        <x:v>Média</x:v>
      </x:c>
      <x:c r="K90" s="1"/>
    </x:row>
    <x:row r="91" ht="24" hidden="0" customHeight="1">
      <x:c r="A91" s="119" t="str">
        <x:v>RF-M09-04</x:v>
      </x:c>
      <x:c r="B91" s="119" t="str">
        <x:v>Funcional</x:v>
      </x:c>
      <x:c r="C91" s="119" t="str">
        <x:v>RECORDATÓRIO ALIMENTAR</x:v>
      </x:c>
      <x:c r="D91" s="119" t="str">
        <x:v>Distribuição por refeição e comparação com necessidades e plano alimentar.</x:v>
      </x:c>
      <x:c r="E91" s="119" t="str">
        <x:v>Não identificado</x:v>
      </x:c>
      <x:c r="F91" s="120" t="n">
        <x:f>IF(E91="Implementado",1,IF(E91="Parcial",0.5,0))</x:f>
        <x:v>0</x:v>
      </x:c>
      <x:c r="G91" s="119" t="str">
        <x:v>src/nutri_app/ui/main_window.py; database/schema.sql</x:v>
      </x:c>
      <x:c r="H91" s="119" t="str">
        <x:v>Não foi identificada evidência suficiente para este requisito. Não foi identificado recordatório alimentar de 24/48/72 h, consumo efetivo, sobras, sintomas e comparação com metas.</x:v>
      </x:c>
      <x:c r="I91" s="119" t="str">
        <x:v>P1</x:v>
      </x:c>
      <x:c r="J91" s="119" t="str">
        <x:v>Média</x:v>
      </x:c>
      <x:c r="K91" s="1"/>
    </x:row>
    <x:row r="92" ht="24" hidden="0" customHeight="1">
      <x:c r="A92" s="119" t="str">
        <x:v>RF-M09-05</x:v>
      </x:c>
      <x:c r="B92" s="119" t="str">
        <x:v>Funcional</x:v>
      </x:c>
      <x:c r="C92" s="119" t="str">
        <x:v>RECORDATÓRIO ALIMENTAR</x:v>
      </x:c>
      <x:c r="D92" s="119" t="str">
        <x:v>Registro de consumo parcial, sobras, aceitação, sintomas e fonte da informação.</x:v>
      </x:c>
      <x:c r="E92" s="119" t="str">
        <x:v>Não identificado</x:v>
      </x:c>
      <x:c r="F92" s="120" t="n">
        <x:f>IF(E92="Implementado",1,IF(E92="Parcial",0.5,0))</x:f>
        <x:v>0</x:v>
      </x:c>
      <x:c r="G92" s="119" t="str">
        <x:v>src/nutri_app/ui/main_window.py; database/schema.sql</x:v>
      </x:c>
      <x:c r="H92" s="119" t="str">
        <x:v>Não foi identificada evidência suficiente para este requisito. Não foi identificado recordatório alimentar de 24/48/72 h, consumo efetivo, sobras, sintomas e comparação com metas.</x:v>
      </x:c>
      <x:c r="I92" s="119" t="str">
        <x:v>P1</x:v>
      </x:c>
      <x:c r="J92" s="119" t="str">
        <x:v>Média</x:v>
      </x:c>
      <x:c r="K92" s="1"/>
    </x:row>
    <x:row r="93" ht="24" hidden="0" customHeight="1">
      <x:c r="A93" s="119" t="str">
        <x:v>RN-M09-01</x:v>
      </x:c>
      <x:c r="B93" s="119" t="str">
        <x:v>Regra de negócio</x:v>
      </x:c>
      <x:c r="C93" s="119" t="str">
        <x:v>RECORDATÓRIO ALIMENTAR</x:v>
      </x:c>
      <x:c r="D93" s="119" t="str">
        <x:v>O cálculo deve utilizar uma única composição versionada do Banco de Alimentos.</x:v>
      </x:c>
      <x:c r="E93" s="119" t="str">
        <x:v>Não identificado</x:v>
      </x:c>
      <x:c r="F93" s="120" t="n">
        <x:f>IF(E93="Implementado",1,IF(E93="Parcial",0.5,0))</x:f>
        <x:v>0</x:v>
      </x:c>
      <x:c r="G93" s="119" t="str">
        <x:v>src/nutri_app/ui/main_window.py; database/schema.sql</x:v>
      </x:c>
      <x:c r="H93" s="119" t="str">
        <x:v>Não foi identificada evidência suficiente para este requisito. Não foi identificado recordatório alimentar de 24/48/72 h, consumo efetivo, sobras, sintomas e comparação com metas.</x:v>
      </x:c>
      <x:c r="I93" s="119" t="str">
        <x:v>P1</x:v>
      </x:c>
      <x:c r="J93" s="119" t="str">
        <x:v>Média</x:v>
      </x:c>
      <x:c r="K93" s="1"/>
    </x:row>
    <x:row r="94" ht="24" hidden="0" customHeight="1">
      <x:c r="A94" s="119" t="str">
        <x:v>RN-M09-02</x:v>
      </x:c>
      <x:c r="B94" s="119" t="str">
        <x:v>Regra de negócio</x:v>
      </x:c>
      <x:c r="C94" s="119" t="str">
        <x:v>RECORDATÓRIO ALIMENTAR</x:v>
      </x:c>
      <x:c r="D94" s="119" t="str">
        <x:v>Alimentos não encontrados podem ser cadastrados, mas exigem fonte e revisão antes de uso compartilhado.</x:v>
      </x:c>
      <x:c r="E94" s="119" t="str">
        <x:v>Parcial</x:v>
      </x:c>
      <x:c r="F94" s="120" t="n">
        <x:f>IF(E94="Implementado",1,IF(E94="Parcial",0.5,0))</x:f>
        <x:v>0.5</x:v>
      </x:c>
      <x:c r="G94" s="119" t="str">
        <x:v>src/nutri_app/ui/main_window.py; database/schema.sql</x:v>
      </x:c>
      <x:c r="H94" s="119" t="str">
        <x:v>Não foi identificado recordatório alimentar de 24/48/72 h, consumo efetivo, sobras, sintomas e comparação com metas.</x:v>
      </x:c>
      <x:c r="I94" s="119" t="str">
        <x:v>P1</x:v>
      </x:c>
      <x:c r="J94" s="119" t="str">
        <x:v>Média</x:v>
      </x:c>
      <x:c r="K94" s="1"/>
    </x:row>
    <x:row r="95" ht="36" hidden="0" customHeight="1">
      <x:c r="A95" s="119" t="str">
        <x:v>RF-M10-01</x:v>
      </x:c>
      <x:c r="B95" s="119" t="str">
        <x:v>Funcional</x:v>
      </x:c>
      <x:c r="C95" s="119" t="str">
        <x:v>GASTO ENERGÉTICO</x:v>
      </x:c>
      <x:c r="D95" s="119" t="str">
        <x:v>Métodos Harris-Benedict, Mifflin-St Jeor, FAO/OMS, Cunningham, Penn State e regra de bolso quando habilitados.</x:v>
      </x:c>
      <x:c r="E95" s="119" t="str">
        <x:v>Parcial</x:v>
      </x:c>
      <x:c r="F95" s="120" t="n">
        <x:f>IF(E95="Implementado",1,IF(E95="Parcial",0.5,0))</x:f>
        <x:v>0.5</x:v>
      </x:c>
      <x:c r="G95" s="119" t="str">
        <x:v>src/nutri_app/services/energy_expenditure.py; src/nutri_app/ui/pages/energy_expenditure_page.py; tests/test_energy_expenditure.py; tests/test_clinical_validation.py</x:v>
      </x:c>
      <x:c r="H95" s="119" t="str">
        <x:v>Faltam Penn State/regra de bolso configurável, rastreio completo da origem do peso e aprovação formal de todas as versões clínicas.</x:v>
      </x:c>
      <x:c r="I95" s="119" t="str">
        <x:v>P0</x:v>
      </x:c>
      <x:c r="J95" s="119" t="str">
        <x:v>Média</x:v>
      </x:c>
      <x:c r="K95" s="1"/>
    </x:row>
    <x:row r="96" ht="36" hidden="0" customHeight="1">
      <x:c r="A96" s="119" t="str">
        <x:v>RF-M10-02</x:v>
      </x:c>
      <x:c r="B96" s="119" t="str">
        <x:v>Funcional</x:v>
      </x:c>
      <x:c r="C96" s="119" t="str">
        <x:v>GASTO ENERGÉTICO</x:v>
      </x:c>
      <x:c r="D96" s="119" t="str">
        <x:v>Fatores de atividade, estresse/injúria, térmico e condições clínicas definidos pelo profissional.</x:v>
      </x:c>
      <x:c r="E96" s="119" t="str">
        <x:v>Implementado</x:v>
      </x:c>
      <x:c r="F96" s="120" t="n">
        <x:f>IF(E96="Implementado",1,IF(E96="Parcial",0.5,0))</x:f>
        <x:v>1</x:v>
      </x:c>
      <x:c r="G96" s="119" t="str">
        <x:v>src/nutri_app/services/energy_expenditure.py; src/nutri_app/ui/pages/energy_expenditure_page.py; tests/test_energy_expenditure.py; tests/test_clinical_validation.py</x:v>
      </x:c>
      <x:c r="H96" s="119" t="str">
        <x:v>Cobertura identificada no escopo atual; ainda requer validação de uso real quando aplicável.</x:v>
      </x:c>
      <x:c r="I96" s="119" t="str">
        <x:v>—</x:v>
      </x:c>
      <x:c r="J96" s="119" t="str">
        <x:v>Alta</x:v>
      </x:c>
      <x:c r="K96" s="1"/>
    </x:row>
    <x:row r="97" ht="36" hidden="0" customHeight="1">
      <x:c r="A97" s="119" t="str">
        <x:v>RF-M10-03</x:v>
      </x:c>
      <x:c r="B97" s="119" t="str">
        <x:v>Funcional</x:v>
      </x:c>
      <x:c r="C97" s="119" t="str">
        <x:v>GASTO ENERGÉTICO</x:v>
      </x:c>
      <x:c r="D97" s="119" t="str">
        <x:v>Seleção do peso utilizado e origem dos dados antropométricos.</x:v>
      </x:c>
      <x:c r="E97" s="119" t="str">
        <x:v>Parcial</x:v>
      </x:c>
      <x:c r="F97" s="120" t="n">
        <x:f>IF(E97="Implementado",1,IF(E97="Parcial",0.5,0))</x:f>
        <x:v>0.5</x:v>
      </x:c>
      <x:c r="G97" s="119" t="str">
        <x:v>src/nutri_app/services/energy_expenditure.py; src/nutri_app/ui/pages/energy_expenditure_page.py; tests/test_energy_expenditure.py; tests/test_clinical_validation.py</x:v>
      </x:c>
      <x:c r="H97" s="119" t="str">
        <x:v>Faltam Penn State/regra de bolso configurável, rastreio completo da origem do peso e aprovação formal de todas as versões clínicas.</x:v>
      </x:c>
      <x:c r="I97" s="119" t="str">
        <x:v>P0</x:v>
      </x:c>
      <x:c r="J97" s="119" t="str">
        <x:v>Média</x:v>
      </x:c>
      <x:c r="K97" s="1"/>
    </x:row>
    <x:row r="98" ht="36" hidden="0" customHeight="1">
      <x:c r="A98" s="119" t="str">
        <x:v>RF-M10-04</x:v>
      </x:c>
      <x:c r="B98" s="119" t="str">
        <x:v>Funcional</x:v>
      </x:c>
      <x:c r="C98" s="119" t="str">
        <x:v>GASTO ENERGÉTICO</x:v>
      </x:c>
      <x:c r="D98" s="119" t="str">
        <x:v>Exibição simultânea de métodos para comparação, com escolha explícita do resultado adotado.</x:v>
      </x:c>
      <x:c r="E98" s="119" t="str">
        <x:v>Implementado</x:v>
      </x:c>
      <x:c r="F98" s="120" t="n">
        <x:f>IF(E98="Implementado",1,IF(E98="Parcial",0.5,0))</x:f>
        <x:v>1</x:v>
      </x:c>
      <x:c r="G98" s="119" t="str">
        <x:v>src/nutri_app/services/energy_expenditure.py; src/nutri_app/ui/pages/energy_expenditure_page.py; tests/test_energy_expenditure.py; tests/test_clinical_validation.py</x:v>
      </x:c>
      <x:c r="H98" s="119" t="str">
        <x:v>Cobertura identificada no escopo atual; ainda requer validação de uso real quando aplicável.</x:v>
      </x:c>
      <x:c r="I98" s="119" t="str">
        <x:v>—</x:v>
      </x:c>
      <x:c r="J98" s="119" t="str">
        <x:v>Alta</x:v>
      </x:c>
      <x:c r="K98" s="1"/>
    </x:row>
    <x:row r="99" ht="36" hidden="0" customHeight="1">
      <x:c r="A99" s="119" t="str">
        <x:v>RF-M10-05</x:v>
      </x:c>
      <x:c r="B99" s="119" t="str">
        <x:v>Funcional</x:v>
      </x:c>
      <x:c r="C99" s="119" t="str">
        <x:v>GASTO ENERGÉTICO</x:v>
      </x:c>
      <x:c r="D99" s="119" t="str">
        <x:v>Memória de cálculo, unidade, arredondamento, data, versão e profissional responsável.</x:v>
      </x:c>
      <x:c r="E99" s="119" t="str">
        <x:v>Implementado</x:v>
      </x:c>
      <x:c r="F99" s="120" t="n">
        <x:f>IF(E99="Implementado",1,IF(E99="Parcial",0.5,0))</x:f>
        <x:v>1</x:v>
      </x:c>
      <x:c r="G99" s="119" t="str">
        <x:v>src/nutri_app/services/energy_expenditure.py; src/nutri_app/ui/pages/energy_expenditure_page.py; tests/test_energy_expenditure.py; tests/test_clinical_validation.py</x:v>
      </x:c>
      <x:c r="H99" s="119" t="str">
        <x:v>Cobertura identificada no escopo atual; ainda requer validação de uso real quando aplicável.</x:v>
      </x:c>
      <x:c r="I99" s="119" t="str">
        <x:v>—</x:v>
      </x:c>
      <x:c r="J99" s="119" t="str">
        <x:v>Alta</x:v>
      </x:c>
      <x:c r="K99" s="1"/>
    </x:row>
    <x:row r="100" ht="36" hidden="0" customHeight="1">
      <x:c r="A100" s="119" t="str">
        <x:v>RN-M10-01</x:v>
      </x:c>
      <x:c r="B100" s="119" t="str">
        <x:v>Regra de negócio</x:v>
      </x:c>
      <x:c r="C100" s="119" t="str">
        <x:v>GASTO ENERGÉTICO</x:v>
      </x:c>
      <x:c r="D100" s="119" t="str">
        <x:v>O sistema não deve escolher silenciosamente a equação; pode sugerir opções compatíveis com justificativa.</x:v>
      </x:c>
      <x:c r="E100" s="119" t="str">
        <x:v>Implementado</x:v>
      </x:c>
      <x:c r="F100" s="120" t="n">
        <x:f>IF(E100="Implementado",1,IF(E100="Parcial",0.5,0))</x:f>
        <x:v>1</x:v>
      </x:c>
      <x:c r="G100" s="119" t="str">
        <x:v>src/nutri_app/services/energy_expenditure.py; src/nutri_app/ui/pages/energy_expenditure_page.py; tests/test_energy_expenditure.py; tests/test_clinical_validation.py</x:v>
      </x:c>
      <x:c r="H100" s="119" t="str">
        <x:v>Cobertura identificada no escopo atual; ainda requer validação de uso real quando aplicável.</x:v>
      </x:c>
      <x:c r="I100" s="119" t="str">
        <x:v>—</x:v>
      </x:c>
      <x:c r="J100" s="119" t="str">
        <x:v>Alta</x:v>
      </x:c>
      <x:c r="K100" s="1"/>
    </x:row>
    <x:row r="101" ht="36" hidden="0" customHeight="1">
      <x:c r="A101" s="119" t="str">
        <x:v>RN-M10-02</x:v>
      </x:c>
      <x:c r="B101" s="119" t="str">
        <x:v>Regra de negócio</x:v>
      </x:c>
      <x:c r="C101" s="119" t="str">
        <x:v>GASTO ENERGÉTICO</x:v>
      </x:c>
      <x:c r="D101" s="119" t="str">
        <x:v>Resultados adotados alimentam necessidades, prescrição e plano sem duplicar fórmulas.</x:v>
      </x:c>
      <x:c r="E101" s="119" t="str">
        <x:v>Parcial</x:v>
      </x:c>
      <x:c r="F101" s="120" t="n">
        <x:f>IF(E101="Implementado",1,IF(E101="Parcial",0.5,0))</x:f>
        <x:v>0.5</x:v>
      </x:c>
      <x:c r="G101" s="119" t="str">
        <x:v>src/nutri_app/services/energy_expenditure.py; src/nutri_app/ui/pages/energy_expenditure_page.py; tests/test_energy_expenditure.py; tests/test_clinical_validation.py</x:v>
      </x:c>
      <x:c r="H101" s="119" t="str">
        <x:v>Faltam Penn State/regra de bolso configurável, rastreio completo da origem do peso e aprovação formal de todas as versões clínicas.</x:v>
      </x:c>
      <x:c r="I101" s="119" t="str">
        <x:v>P0</x:v>
      </x:c>
      <x:c r="J101" s="119" t="str">
        <x:v>Média</x:v>
      </x:c>
      <x:c r="K101" s="1"/>
    </x:row>
    <x:row r="102" ht="24" hidden="0" customHeight="1">
      <x:c r="A102" s="119" t="str">
        <x:v>RF-M11-01</x:v>
      </x:c>
      <x:c r="B102" s="119" t="str">
        <x:v>Funcional</x:v>
      </x:c>
      <x:c r="C102" s="119" t="str">
        <x:v>NECESSIDADES NUTRICIONAIS</x:v>
      </x:c>
      <x:c r="D102" s="119" t="str">
        <x:v>Meta energética diária e por kg, com vínculo ao gasto energético ou faixa definida manualmente.</x:v>
      </x:c>
      <x:c r="E102" s="119" t="str">
        <x:v>Implementado</x:v>
      </x:c>
      <x:c r="F102" s="120" t="n">
        <x:f>IF(E102="Implementado",1,IF(E102="Parcial",0.5,0))</x:f>
        <x:v>1</x:v>
      </x:c>
      <x:c r="G102" s="119" t="str">
        <x:v>src/nutri_app/services/energy_expenditure.py; src/nutri_app/services/meal_plan.py; database/schema.sql</x:v>
      </x:c>
      <x:c r="H102" s="119" t="str">
        <x:v>Cobertura identificada no escopo atual; ainda requer validação de uso real quando aplicável.</x:v>
      </x:c>
      <x:c r="I102" s="119" t="str">
        <x:v>—</x:v>
      </x:c>
      <x:c r="J102" s="119" t="str">
        <x:v>Alta</x:v>
      </x:c>
      <x:c r="K102" s="1"/>
    </x:row>
    <x:row r="103" ht="24" hidden="0" customHeight="1">
      <x:c r="A103" s="119" t="str">
        <x:v>RF-M11-02</x:v>
      </x:c>
      <x:c r="B103" s="119" t="str">
        <x:v>Funcional</x:v>
      </x:c>
      <x:c r="C103" s="119" t="str">
        <x:v>NECESSIDADES NUTRICIONAIS</x:v>
      </x:c>
      <x:c r="D103" s="119" t="str">
        <x:v>Proteína em g/kg, total de gramas, kcal e percentual; carboidratos e lipídios por gramas, kg ou percentual.</x:v>
      </x:c>
      <x:c r="E103" s="119" t="str">
        <x:v>Implementado</x:v>
      </x:c>
      <x:c r="F103" s="120" t="n">
        <x:f>IF(E103="Implementado",1,IF(E103="Parcial",0.5,0))</x:f>
        <x:v>1</x:v>
      </x:c>
      <x:c r="G103" s="119" t="str">
        <x:v>src/nutri_app/services/energy_expenditure.py; src/nutri_app/services/meal_plan.py; database/schema.sql</x:v>
      </x:c>
      <x:c r="H103" s="119" t="str">
        <x:v>Cobertura identificada no escopo atual; ainda requer validação de uso real quando aplicável.</x:v>
      </x:c>
      <x:c r="I103" s="119" t="str">
        <x:v>—</x:v>
      </x:c>
      <x:c r="J103" s="119" t="str">
        <x:v>Alta</x:v>
      </x:c>
      <x:c r="K103" s="1"/>
    </x:row>
    <x:row r="104" ht="24" hidden="0" customHeight="1">
      <x:c r="A104" s="119" t="str">
        <x:v>RF-M11-03</x:v>
      </x:c>
      <x:c r="B104" s="119" t="str">
        <x:v>Funcional</x:v>
      </x:c>
      <x:c r="C104" s="119" t="str">
        <x:v>NECESSIDADES NUTRICIONAIS</x:v>
      </x:c>
      <x:c r="D104" s="119" t="str">
        <x:v>Meta hídrica por regra configurável, superfície corporal, balanço ou decisão clínica.</x:v>
      </x:c>
      <x:c r="E104" s="119" t="str">
        <x:v>Parcial</x:v>
      </x:c>
      <x:c r="F104" s="120" t="n">
        <x:f>IF(E104="Implementado",1,IF(E104="Parcial",0.5,0))</x:f>
        <x:v>0.5</x:v>
      </x:c>
      <x:c r="G104" s="119" t="str">
        <x:v>src/nutri_app/services/energy_expenditure.py; src/nutri_app/services/meal_plan.py; database/schema.sql</x:v>
      </x:c>
      <x:c r="H104" s="119" t="str">
        <x:v>Faltam módulo próprio, metas hídricas/micronutrientes completas, vias terapêuticas e comparativo meta versus prescrito versus consumido.</x:v>
      </x:c>
      <x:c r="I104" s="119" t="str">
        <x:v>P0</x:v>
      </x:c>
      <x:c r="J104" s="119" t="str">
        <x:v>Média</x:v>
      </x:c>
      <x:c r="K104" s="1"/>
    </x:row>
    <x:row r="105" ht="36" hidden="0" customHeight="1">
      <x:c r="A105" s="119" t="str">
        <x:v>RF-M11-04</x:v>
      </x:c>
      <x:c r="B105" s="119" t="str">
        <x:v>Funcional</x:v>
      </x:c>
      <x:c r="C105" s="119" t="str">
        <x:v>NECESSIDADES NUTRICIONAIS</x:v>
      </x:c>
      <x:c r="D105" s="119" t="str">
        <x:v>Fibras, eletrólitos, minerais e vitaminas conforme condição e protocolo selecionado.</x:v>
      </x:c>
      <x:c r="E105" s="119" t="str">
        <x:v>Não identificado</x:v>
      </x:c>
      <x:c r="F105" s="120" t="n">
        <x:f>IF(E105="Implementado",1,IF(E105="Parcial",0.5,0))</x:f>
        <x:v>0</x:v>
      </x:c>
      <x:c r="G105" s="119" t="str">
        <x:v>src/nutri_app/services/energy_expenditure.py; src/nutri_app/services/meal_plan.py; database/schema.sql</x:v>
      </x:c>
      <x:c r="H105" s="119" t="str">
        <x:v>Não foi identificada evidência suficiente para este requisito. Faltam módulo próprio, metas hídricas/micronutrientes completas, vias terapêuticas e comparativo meta versus prescrito versus consumido.</x:v>
      </x:c>
      <x:c r="I105" s="119" t="str">
        <x:v>P0</x:v>
      </x:c>
      <x:c r="J105" s="119" t="str">
        <x:v>Média</x:v>
      </x:c>
      <x:c r="K105" s="1"/>
    </x:row>
    <x:row r="106" ht="24" hidden="0" customHeight="1">
      <x:c r="A106" s="119" t="str">
        <x:v>RF-M11-05</x:v>
      </x:c>
      <x:c r="B106" s="119" t="str">
        <x:v>Funcional</x:v>
      </x:c>
      <x:c r="C106" s="119" t="str">
        <x:v>NECESSIDADES NUTRICIONAIS</x:v>
      </x:c>
      <x:c r="D106" s="119" t="str">
        <x:v>Distribuição por refeições, via oral, enteral, parenteral ou combinação.</x:v>
      </x:c>
      <x:c r="E106" s="119" t="str">
        <x:v>Parcial</x:v>
      </x:c>
      <x:c r="F106" s="120" t="n">
        <x:f>IF(E106="Implementado",1,IF(E106="Parcial",0.5,0))</x:f>
        <x:v>0.5</x:v>
      </x:c>
      <x:c r="G106" s="119" t="str">
        <x:v>src/nutri_app/services/energy_expenditure.py; src/nutri_app/services/meal_plan.py; database/schema.sql</x:v>
      </x:c>
      <x:c r="H106" s="119" t="str">
        <x:v>Faltam módulo próprio, metas hídricas/micronutrientes completas, vias terapêuticas e comparativo meta versus prescrito versus consumido.</x:v>
      </x:c>
      <x:c r="I106" s="119" t="str">
        <x:v>P0</x:v>
      </x:c>
      <x:c r="J106" s="119" t="str">
        <x:v>Média</x:v>
      </x:c>
      <x:c r="K106" s="1"/>
    </x:row>
    <x:row r="107" ht="24" hidden="0" customHeight="1">
      <x:c r="A107" s="119" t="str">
        <x:v>RF-M11-06</x:v>
      </x:c>
      <x:c r="B107" s="119" t="str">
        <x:v>Funcional</x:v>
      </x:c>
      <x:c r="C107" s="119" t="str">
        <x:v>NECESSIDADES NUTRICIONAIS</x:v>
      </x:c>
      <x:c r="D107" s="119" t="str">
        <x:v>Comparativo meta versus prescrito versus consumido, com alertas de divergência.</x:v>
      </x:c>
      <x:c r="E107" s="119" t="str">
        <x:v>Parcial</x:v>
      </x:c>
      <x:c r="F107" s="120" t="n">
        <x:f>IF(E107="Implementado",1,IF(E107="Parcial",0.5,0))</x:f>
        <x:v>0.5</x:v>
      </x:c>
      <x:c r="G107" s="119" t="str">
        <x:v>src/nutri_app/services/energy_expenditure.py; src/nutri_app/services/meal_plan.py; database/schema.sql</x:v>
      </x:c>
      <x:c r="H107" s="119" t="str">
        <x:v>Faltam módulo próprio, metas hídricas/micronutrientes completas, vias terapêuticas e comparativo meta versus prescrito versus consumido.</x:v>
      </x:c>
      <x:c r="I107" s="119" t="str">
        <x:v>P0</x:v>
      </x:c>
      <x:c r="J107" s="119" t="str">
        <x:v>Média</x:v>
      </x:c>
      <x:c r="K107" s="1"/>
    </x:row>
    <x:row r="108" ht="24" hidden="0" customHeight="1">
      <x:c r="A108" s="119" t="str">
        <x:v>RN-M11-01</x:v>
      </x:c>
      <x:c r="B108" s="119" t="str">
        <x:v>Regra de negócio</x:v>
      </x:c>
      <x:c r="C108" s="119" t="str">
        <x:v>NECESSIDADES NUTRICIONAIS</x:v>
      </x:c>
      <x:c r="D108" s="119" t="str">
        <x:v>Percentuais de macronutrientes devem ser validados sem impedir prescrição justificada fora do padrão.</x:v>
      </x:c>
      <x:c r="E108" s="119" t="str">
        <x:v>Implementado</x:v>
      </x:c>
      <x:c r="F108" s="120" t="n">
        <x:f>IF(E108="Implementado",1,IF(E108="Parcial",0.5,0))</x:f>
        <x:v>1</x:v>
      </x:c>
      <x:c r="G108" s="119" t="str">
        <x:v>src/nutri_app/services/energy_expenditure.py; src/nutri_app/services/meal_plan.py; database/schema.sql</x:v>
      </x:c>
      <x:c r="H108" s="119" t="str">
        <x:v>Cobertura identificada no escopo atual; ainda requer validação de uso real quando aplicável.</x:v>
      </x:c>
      <x:c r="I108" s="119" t="str">
        <x:v>—</x:v>
      </x:c>
      <x:c r="J108" s="119" t="str">
        <x:v>Alta</x:v>
      </x:c>
      <x:c r="K108" s="1"/>
    </x:row>
    <x:row r="109" ht="24" hidden="0" customHeight="1">
      <x:c r="A109" s="119" t="str">
        <x:v>RN-M11-02</x:v>
      </x:c>
      <x:c r="B109" s="119" t="str">
        <x:v>Regra de negócio</x:v>
      </x:c>
      <x:c r="C109" s="119" t="str">
        <x:v>NECESSIDADES NUTRICIONAIS</x:v>
      </x:c>
      <x:c r="D109" s="119" t="str">
        <x:v>Metas sugeridas exigem confirmação do nutricionista e registram fonte e versão.</x:v>
      </x:c>
      <x:c r="E109" s="119" t="str">
        <x:v>Parcial</x:v>
      </x:c>
      <x:c r="F109" s="120" t="n">
        <x:f>IF(E109="Implementado",1,IF(E109="Parcial",0.5,0))</x:f>
        <x:v>0.5</x:v>
      </x:c>
      <x:c r="G109" s="119" t="str">
        <x:v>src/nutri_app/services/energy_expenditure.py; src/nutri_app/services/meal_plan.py; database/schema.sql</x:v>
      </x:c>
      <x:c r="H109" s="119" t="str">
        <x:v>Faltam módulo próprio, metas hídricas/micronutrientes completas, vias terapêuticas e comparativo meta versus prescrito versus consumido.</x:v>
      </x:c>
      <x:c r="I109" s="119" t="str">
        <x:v>P0</x:v>
      </x:c>
      <x:c r="J109" s="119" t="str">
        <x:v>Média</x:v>
      </x:c>
      <x:c r="K109" s="1"/>
    </x:row>
    <x:row r="110" ht="36" hidden="0" customHeight="1">
      <x:c r="A110" s="119" t="str">
        <x:v>RF-M12-01</x:v>
      </x:c>
      <x:c r="B110" s="119" t="str">
        <x:v>Funcional</x:v>
      </x:c>
      <x:c r="C110" s="119" t="str">
        <x:v>DIAGNÓSTICO NUTRICIONAL</x:v>
      </x:c>
      <x:c r="D110" s="119" t="str">
        <x:v>Diagnóstico na estrutura PES: problema, etiologia, sinais e sintomas, com texto consolidado editável.</x:v>
      </x:c>
      <x:c r="E110" s="119" t="str">
        <x:v>Parcial</x:v>
      </x:c>
      <x:c r="F110" s="120" t="n">
        <x:f>IF(E110="Implementado",1,IF(E110="Parcial",0.5,0))</x:f>
        <x:v>0.5</x:v>
      </x:c>
      <x:c r="G110" s="119" t="str">
        <x:v>src/nutri_app/ui/pages/nutrition_diagnosis_page.py; src/nutri_app/services/nutrition_diagnosis.py; src/nutri_app/services/clinical_validation.py; tests/test_nutrition_diagnosis.py</x:v>
      </x:c>
      <x:c r="H110" s="119" t="str">
        <x:v>Faltam PES completo, vínculos automáticos abrangentes, estados ativo/resolvido/substituído e aprovação de todas as terminologias.</x:v>
      </x:c>
      <x:c r="I110" s="119" t="str">
        <x:v>P0</x:v>
      </x:c>
      <x:c r="J110" s="119" t="str">
        <x:v>Média</x:v>
      </x:c>
      <x:c r="K110" s="1"/>
    </x:row>
    <x:row r="111" ht="36" hidden="0" customHeight="1">
      <x:c r="A111" s="119" t="str">
        <x:v>RF-M12-02</x:v>
      </x:c>
      <x:c r="B111" s="119" t="str">
        <x:v>Funcional</x:v>
      </x:c>
      <x:c r="C111" s="119" t="str">
        <x:v>DIAGNÓSTICO NUTRICIONAL</x:v>
      </x:c>
      <x:c r="D111" s="119" t="str">
        <x:v>Protocolos GLIM, ASG/SGA, fragilidade, sarcopenia e outros quando cadastrados e aplicáveis.</x:v>
      </x:c>
      <x:c r="E111" s="119" t="str">
        <x:v>Parcial</x:v>
      </x:c>
      <x:c r="F111" s="120" t="n">
        <x:f>IF(E111="Implementado",1,IF(E111="Parcial",0.5,0))</x:f>
        <x:v>0.5</x:v>
      </x:c>
      <x:c r="G111" s="119" t="str">
        <x:v>src/nutri_app/ui/pages/nutrition_diagnosis_page.py; src/nutri_app/services/nutrition_diagnosis.py; src/nutri_app/services/clinical_validation.py; tests/test_nutrition_diagnosis.py</x:v>
      </x:c>
      <x:c r="H111" s="119" t="str">
        <x:v>Faltam PES completo, vínculos automáticos abrangentes, estados ativo/resolvido/substituído e aprovação de todas as terminologias.</x:v>
      </x:c>
      <x:c r="I111" s="119" t="str">
        <x:v>P0</x:v>
      </x:c>
      <x:c r="J111" s="119" t="str">
        <x:v>Média</x:v>
      </x:c>
      <x:c r="K111" s="1"/>
    </x:row>
    <x:row r="112" ht="36" hidden="0" customHeight="1">
      <x:c r="A112" s="119" t="str">
        <x:v>RF-M12-03</x:v>
      </x:c>
      <x:c r="B112" s="119" t="str">
        <x:v>Funcional</x:v>
      </x:c>
      <x:c r="C112" s="119" t="str">
        <x:v>DIAGNÓSTICO NUTRICIONAL</x:v>
      </x:c>
      <x:c r="D112" s="119" t="str">
        <x:v>Visualização vinculada de antropometria, clínica, ingestão, exames, risco e evolução.</x:v>
      </x:c>
      <x:c r="E112" s="119" t="str">
        <x:v>Parcial</x:v>
      </x:c>
      <x:c r="F112" s="120" t="n">
        <x:f>IF(E112="Implementado",1,IF(E112="Parcial",0.5,0))</x:f>
        <x:v>0.5</x:v>
      </x:c>
      <x:c r="G112" s="119" t="str">
        <x:v>src/nutri_app/ui/pages/nutrition_diagnosis_page.py; src/nutri_app/services/nutrition_diagnosis.py; src/nutri_app/services/clinical_validation.py; tests/test_nutrition_diagnosis.py</x:v>
      </x:c>
      <x:c r="H112" s="119" t="str">
        <x:v>Faltam PES completo, vínculos automáticos abrangentes, estados ativo/resolvido/substituído e aprovação de todas as terminologias.</x:v>
      </x:c>
      <x:c r="I112" s="119" t="str">
        <x:v>P0</x:v>
      </x:c>
      <x:c r="J112" s="119" t="str">
        <x:v>Média</x:v>
      </x:c>
      <x:c r="K112" s="1"/>
    </x:row>
    <x:row r="113" ht="36" hidden="0" customHeight="1">
      <x:c r="A113" s="119" t="str">
        <x:v>RF-M12-04</x:v>
      </x:c>
      <x:c r="B113" s="119" t="str">
        <x:v>Funcional</x:v>
      </x:c>
      <x:c r="C113" s="119" t="str">
        <x:v>DIAGNÓSTICO NUTRICIONAL</x:v>
      </x:c>
      <x:c r="D113" s="119" t="str">
        <x:v>Classificação de gravidade, data, status, revisão e relação com objetivos e condutas.</x:v>
      </x:c>
      <x:c r="E113" s="119" t="str">
        <x:v>Parcial</x:v>
      </x:c>
      <x:c r="F113" s="120" t="n">
        <x:f>IF(E113="Implementado",1,IF(E113="Parcial",0.5,0))</x:f>
        <x:v>0.5</x:v>
      </x:c>
      <x:c r="G113" s="119" t="str">
        <x:v>src/nutri_app/ui/pages/nutrition_diagnosis_page.py; src/nutri_app/services/nutrition_diagnosis.py; src/nutri_app/services/clinical_validation.py; tests/test_nutrition_diagnosis.py</x:v>
      </x:c>
      <x:c r="H113" s="119" t="str">
        <x:v>Faltam PES completo, vínculos automáticos abrangentes, estados ativo/resolvido/substituído e aprovação de todas as terminologias.</x:v>
      </x:c>
      <x:c r="I113" s="119" t="str">
        <x:v>P0</x:v>
      </x:c>
      <x:c r="J113" s="119" t="str">
        <x:v>Média</x:v>
      </x:c>
      <x:c r="K113" s="1"/>
    </x:row>
    <x:row r="114" ht="36" hidden="0" customHeight="1">
      <x:c r="A114" s="119" t="str">
        <x:v>RF-M12-05</x:v>
      </x:c>
      <x:c r="B114" s="119" t="str">
        <x:v>Funcional</x:v>
      </x:c>
      <x:c r="C114" s="119" t="str">
        <x:v>DIAGNÓSTICO NUTRICIONAL</x:v>
      </x:c>
      <x:c r="D114" s="119" t="str">
        <x:v>Histórico de diagnósticos ativos, resolvidos, revisados ou substituídos.</x:v>
      </x:c>
      <x:c r="E114" s="119" t="str">
        <x:v>Parcial</x:v>
      </x:c>
      <x:c r="F114" s="120" t="n">
        <x:f>IF(E114="Implementado",1,IF(E114="Parcial",0.5,0))</x:f>
        <x:v>0.5</x:v>
      </x:c>
      <x:c r="G114" s="119" t="str">
        <x:v>src/nutri_app/ui/pages/nutrition_diagnosis_page.py; src/nutri_app/services/nutrition_diagnosis.py; src/nutri_app/services/clinical_validation.py; tests/test_nutrition_diagnosis.py</x:v>
      </x:c>
      <x:c r="H114" s="119" t="str">
        <x:v>Faltam PES completo, vínculos automáticos abrangentes, estados ativo/resolvido/substituído e aprovação de todas as terminologias.</x:v>
      </x:c>
      <x:c r="I114" s="119" t="str">
        <x:v>P0</x:v>
      </x:c>
      <x:c r="J114" s="119" t="str">
        <x:v>Média</x:v>
      </x:c>
      <x:c r="K114" s="1"/>
    </x:row>
    <x:row r="115" ht="36" hidden="0" customHeight="1">
      <x:c r="A115" s="119" t="str">
        <x:v>RN-M12-01</x:v>
      </x:c>
      <x:c r="B115" s="119" t="str">
        <x:v>Regra de negócio</x:v>
      </x:c>
      <x:c r="C115" s="119" t="str">
        <x:v>DIAGNÓSTICO NUTRICIONAL</x:v>
      </x:c>
      <x:c r="D115" s="119" t="str">
        <x:v>Sugestões automáticas nunca substituem a decisão clínica e devem indicar evidências utilizadas.</x:v>
      </x:c>
      <x:c r="E115" s="119" t="str">
        <x:v>Implementado</x:v>
      </x:c>
      <x:c r="F115" s="120" t="n">
        <x:f>IF(E115="Implementado",1,IF(E115="Parcial",0.5,0))</x:f>
        <x:v>1</x:v>
      </x:c>
      <x:c r="G115" s="119" t="str">
        <x:v>src/nutri_app/ui/pages/nutrition_diagnosis_page.py; src/nutri_app/services/nutrition_diagnosis.py; src/nutri_app/services/clinical_validation.py; tests/test_nutrition_diagnosis.py</x:v>
      </x:c>
      <x:c r="H115" s="119" t="str">
        <x:v>Cobertura identificada no escopo atual; ainda requer validação de uso real quando aplicável.</x:v>
      </x:c>
      <x:c r="I115" s="119" t="str">
        <x:v>—</x:v>
      </x:c>
      <x:c r="J115" s="119" t="str">
        <x:v>Alta</x:v>
      </x:c>
      <x:c r="K115" s="1"/>
    </x:row>
    <x:row r="116" ht="36" hidden="0" customHeight="1">
      <x:c r="A116" s="119" t="str">
        <x:v>RN-M12-02</x:v>
      </x:c>
      <x:c r="B116" s="119" t="str">
        <x:v>Regra de negócio</x:v>
      </x:c>
      <x:c r="C116" s="119" t="str">
        <x:v>DIAGNÓSTICO NUTRICIONAL</x:v>
      </x:c>
      <x:c r="D116" s="119" t="str">
        <x:v>Terminologia, protocolo e critérios precisam ser versionados e aprovados na governança clínica.</x:v>
      </x:c>
      <x:c r="E116" s="119" t="str">
        <x:v>Parcial</x:v>
      </x:c>
      <x:c r="F116" s="120" t="n">
        <x:f>IF(E116="Implementado",1,IF(E116="Parcial",0.5,0))</x:f>
        <x:v>0.5</x:v>
      </x:c>
      <x:c r="G116" s="119" t="str">
        <x:v>src/nutri_app/ui/pages/nutrition_diagnosis_page.py; src/nutri_app/services/nutrition_diagnosis.py; src/nutri_app/services/clinical_validation.py; tests/test_nutrition_diagnosis.py</x:v>
      </x:c>
      <x:c r="H116" s="119" t="str">
        <x:v>Faltam PES completo, vínculos automáticos abrangentes, estados ativo/resolvido/substituído e aprovação de todas as terminologias.</x:v>
      </x:c>
      <x:c r="I116" s="119" t="str">
        <x:v>P0</x:v>
      </x:c>
      <x:c r="J116" s="119" t="str">
        <x:v>Média</x:v>
      </x:c>
      <x:c r="K116" s="1"/>
    </x:row>
    <x:row r="117" ht="24" hidden="0" customHeight="1">
      <x:c r="A117" s="119" t="str">
        <x:v>RF-M13-01</x:v>
      </x:c>
      <x:c r="B117" s="119" t="str">
        <x:v>Funcional</x:v>
      </x:c>
      <x:c r="C117" s="119" t="str">
        <x:v>PRESCRIÇÃO NUTRICIONAL</x:v>
      </x:c>
      <x:c r="D117" s="119" t="str">
        <x:v>Objetivos, via oral/enteral/parenteral/mista, consistência, composição, fracionamento e restrições.</x:v>
      </x:c>
      <x:c r="E117" s="119" t="str">
        <x:v>Parcial</x:v>
      </x:c>
      <x:c r="F117" s="120" t="n">
        <x:f>IF(E117="Implementado",1,IF(E117="Parcial",0.5,0))</x:f>
        <x:v>0.5</x:v>
      </x:c>
      <x:c r="G117" s="119" t="str">
        <x:v>database/schema.sql; src/nutri_app/ui/main_window.py</x:v>
      </x:c>
      <x:c r="H117" s="119" t="str">
        <x:v>Não há entidade/tela de prescrição nutricional integrada, assinável, versionada e com suspensão/validade.</x:v>
      </x:c>
      <x:c r="I117" s="119" t="str">
        <x:v>P0</x:v>
      </x:c>
      <x:c r="J117" s="119" t="str">
        <x:v>Média</x:v>
      </x:c>
      <x:c r="K117" s="1"/>
    </x:row>
    <x:row r="118" ht="24" hidden="0" customHeight="1">
      <x:c r="A118" s="119" t="str">
        <x:v>RF-M13-02</x:v>
      </x:c>
      <x:c r="B118" s="119" t="str">
        <x:v>Funcional</x:v>
      </x:c>
      <x:c r="C118" s="119" t="str">
        <x:v>PRESCRIÇÃO NUTRICIONAL</x:v>
      </x:c>
      <x:c r="D118" s="119" t="str">
        <x:v>Metas de energia, proteína, carboidrato, lipídio, fibras, água e micronutrientes adotadas.</x:v>
      </x:c>
      <x:c r="E118" s="119" t="str">
        <x:v>Parcial</x:v>
      </x:c>
      <x:c r="F118" s="120" t="n">
        <x:f>IF(E118="Implementado",1,IF(E118="Parcial",0.5,0))</x:f>
        <x:v>0.5</x:v>
      </x:c>
      <x:c r="G118" s="119" t="str">
        <x:v>database/schema.sql; src/nutri_app/ui/main_window.py</x:v>
      </x:c>
      <x:c r="H118" s="119" t="str">
        <x:v>Não há entidade/tela de prescrição nutricional integrada, assinável, versionada e com suspensão/validade.</x:v>
      </x:c>
      <x:c r="I118" s="119" t="str">
        <x:v>P0</x:v>
      </x:c>
      <x:c r="J118" s="119" t="str">
        <x:v>Média</x:v>
      </x:c>
      <x:c r="K118" s="1"/>
    </x:row>
    <x:row r="119" ht="24" hidden="0" customHeight="1">
      <x:c r="A119" s="119" t="str">
        <x:v>RF-M13-03</x:v>
      </x:c>
      <x:c r="B119" s="119" t="str">
        <x:v>Funcional</x:v>
      </x:c>
      <x:c r="C119" s="119" t="str">
        <x:v>PRESCRIÇÃO NUTRICIONAL</x:v>
      </x:c>
      <x:c r="D119" s="119" t="str">
        <x:v>Inclusão de dietas, suplementos, módulos, hidratação e orientações à copa/equipe.</x:v>
      </x:c>
      <x:c r="E119" s="119" t="str">
        <x:v>Parcial</x:v>
      </x:c>
      <x:c r="F119" s="120" t="n">
        <x:f>IF(E119="Implementado",1,IF(E119="Parcial",0.5,0))</x:f>
        <x:v>0.5</x:v>
      </x:c>
      <x:c r="G119" s="119" t="str">
        <x:v>database/schema.sql; src/nutri_app/ui/main_window.py</x:v>
      </x:c>
      <x:c r="H119" s="119" t="str">
        <x:v>Não há entidade/tela de prescrição nutricional integrada, assinável, versionada e com suspensão/validade.</x:v>
      </x:c>
      <x:c r="I119" s="119" t="str">
        <x:v>P0</x:v>
      </x:c>
      <x:c r="J119" s="119" t="str">
        <x:v>Média</x:v>
      </x:c>
      <x:c r="K119" s="1"/>
    </x:row>
    <x:row r="120" ht="24" hidden="0" customHeight="1">
      <x:c r="A120" s="119" t="str">
        <x:v>RF-M13-04</x:v>
      </x:c>
      <x:c r="B120" s="119" t="str">
        <x:v>Funcional</x:v>
      </x:c>
      <x:c r="C120" s="119" t="str">
        <x:v>PRESCRIÇÃO NUTRICIONAL</x:v>
      </x:c>
      <x:c r="D120" s="119" t="str">
        <x:v>Vínculo com necessidades, alergias, diagnóstico, plano alimentar e terapias específicas.</x:v>
      </x:c>
      <x:c r="E120" s="119" t="str">
        <x:v>Parcial</x:v>
      </x:c>
      <x:c r="F120" s="120" t="n">
        <x:f>IF(E120="Implementado",1,IF(E120="Parcial",0.5,0))</x:f>
        <x:v>0.5</x:v>
      </x:c>
      <x:c r="G120" s="119" t="str">
        <x:v>database/schema.sql; src/nutri_app/ui/main_window.py</x:v>
      </x:c>
      <x:c r="H120" s="119" t="str">
        <x:v>Não há entidade/tela de prescrição nutricional integrada, assinável, versionada e com suspensão/validade.</x:v>
      </x:c>
      <x:c r="I120" s="119" t="str">
        <x:v>P0</x:v>
      </x:c>
      <x:c r="J120" s="119" t="str">
        <x:v>Média</x:v>
      </x:c>
      <x:c r="K120" s="1"/>
    </x:row>
    <x:row r="121" ht="24" hidden="0" customHeight="1">
      <x:c r="A121" s="119" t="str">
        <x:v>RF-M13-05</x:v>
      </x:c>
      <x:c r="B121" s="119" t="str">
        <x:v>Funcional</x:v>
      </x:c>
      <x:c r="C121" s="119" t="str">
        <x:v>PRESCRIÇÃO NUTRICIONAL</x:v>
      </x:c>
      <x:c r="D121" s="119" t="str">
        <x:v>Emissão, revisão, suspensão, validade, assinatura eletrônica e histórico de versões.</x:v>
      </x:c>
      <x:c r="E121" s="119" t="str">
        <x:v>Não identificado</x:v>
      </x:c>
      <x:c r="F121" s="120" t="n">
        <x:f>IF(E121="Implementado",1,IF(E121="Parcial",0.5,0))</x:f>
        <x:v>0</x:v>
      </x:c>
      <x:c r="G121" s="119" t="str">
        <x:v>database/schema.sql; src/nutri_app/ui/main_window.py</x:v>
      </x:c>
      <x:c r="H121" s="119" t="str">
        <x:v>Não foi identificada evidência suficiente para este requisito. Não há entidade/tela de prescrição nutricional integrada, assinável, versionada e com suspensão/validade.</x:v>
      </x:c>
      <x:c r="I121" s="119" t="str">
        <x:v>P0</x:v>
      </x:c>
      <x:c r="J121" s="119" t="str">
        <x:v>Média</x:v>
      </x:c>
      <x:c r="K121" s="1"/>
    </x:row>
    <x:row r="122" ht="24" hidden="0" customHeight="1">
      <x:c r="A122" s="119" t="str">
        <x:v>RN-M13-01</x:v>
      </x:c>
      <x:c r="B122" s="119" t="str">
        <x:v>Regra de negócio</x:v>
      </x:c>
      <x:c r="C122" s="119" t="str">
        <x:v>PRESCRIÇÃO NUTRICIONAL</x:v>
      </x:c>
      <x:c r="D122" s="119" t="str">
        <x:v>Valores sugeridos são editáveis e exigem confirmação; alergias e incompatibilidades devem gerar alertas não silenciosos.</x:v>
      </x:c>
      <x:c r="E122" s="119" t="str">
        <x:v>Parcial</x:v>
      </x:c>
      <x:c r="F122" s="120" t="n">
        <x:f>IF(E122="Implementado",1,IF(E122="Parcial",0.5,0))</x:f>
        <x:v>0.5</x:v>
      </x:c>
      <x:c r="G122" s="119" t="str">
        <x:v>database/schema.sql; src/nutri_app/ui/main_window.py</x:v>
      </x:c>
      <x:c r="H122" s="119" t="str">
        <x:v>Não há entidade/tela de prescrição nutricional integrada, assinável, versionada e com suspensão/validade.</x:v>
      </x:c>
      <x:c r="I122" s="119" t="str">
        <x:v>P0</x:v>
      </x:c>
      <x:c r="J122" s="119" t="str">
        <x:v>Média</x:v>
      </x:c>
      <x:c r="K122" s="1"/>
    </x:row>
    <x:row r="123" ht="24" hidden="0" customHeight="1">
      <x:c r="A123" s="119" t="str">
        <x:v>RN-M13-02</x:v>
      </x:c>
      <x:c r="B123" s="119" t="str">
        <x:v>Regra de negócio</x:v>
      </x:c>
      <x:c r="C123" s="119" t="str">
        <x:v>PRESCRIÇÃO NUTRICIONAL</x:v>
      </x:c>
      <x:c r="D123" s="119" t="str">
        <x:v>Assinatura digital depende de identidade profissional e certificado configurado quando exigido.</x:v>
      </x:c>
      <x:c r="E123" s="119" t="str">
        <x:v>Não identificado</x:v>
      </x:c>
      <x:c r="F123" s="120" t="n">
        <x:f>IF(E123="Implementado",1,IF(E123="Parcial",0.5,0))</x:f>
        <x:v>0</x:v>
      </x:c>
      <x:c r="G123" s="119" t="str">
        <x:v>database/schema.sql; src/nutri_app/ui/main_window.py</x:v>
      </x:c>
      <x:c r="H123" s="119" t="str">
        <x:v>Não foi identificada evidência suficiente para este requisito. Não há entidade/tela de prescrição nutricional integrada, assinável, versionada e com suspensão/validade.</x:v>
      </x:c>
      <x:c r="I123" s="119" t="str">
        <x:v>P0</x:v>
      </x:c>
      <x:c r="J123" s="119" t="str">
        <x:v>Média</x:v>
      </x:c>
      <x:c r="K123" s="1"/>
    </x:row>
    <x:row r="124" ht="36" hidden="0" customHeight="1">
      <x:c r="A124" s="119" t="str">
        <x:v>RF-M14-01</x:v>
      </x:c>
      <x:c r="B124" s="119" t="str">
        <x:v>Funcional</x:v>
      </x:c>
      <x:c r="C124" s="119" t="str">
        <x:v>PLANO ALIMENTAR</x:v>
      </x:c>
      <x:c r="D124" s="119" t="str">
        <x:v>Refeições, horários, alimentos/receitas, quantidade, medida caseira, modo de preparo e observações.</x:v>
      </x:c>
      <x:c r="E124" s="119" t="str">
        <x:v>Implementado</x:v>
      </x:c>
      <x:c r="F124" s="120" t="n">
        <x:f>IF(E124="Implementado",1,IF(E124="Parcial",0.5,0))</x:f>
        <x:v>1</x:v>
      </x:c>
      <x:c r="G124" s="119" t="str">
        <x:v>src/nutri_app/ui/pages/meal_plan_page.py; src/nutri_app/repositories/meal_plan_repository.py; src/nutri_app/services/meal_plan.py; tests/test_meal_plan.py</x:v>
      </x:c>
      <x:c r="H124" s="119" t="str">
        <x:v>Cobertura identificada no escopo atual; ainda requer validação de uso real quando aplicável.</x:v>
      </x:c>
      <x:c r="I124" s="119" t="str">
        <x:v>—</x:v>
      </x:c>
      <x:c r="J124" s="119" t="str">
        <x:v>Alta</x:v>
      </x:c>
      <x:c r="K124" s="1"/>
    </x:row>
    <x:row r="125" ht="36" hidden="0" customHeight="1">
      <x:c r="A125" s="119" t="str">
        <x:v>RF-M14-02</x:v>
      </x:c>
      <x:c r="B125" s="119" t="str">
        <x:v>Funcional</x:v>
      </x:c>
      <x:c r="C125" s="119" t="str">
        <x:v>PLANO ALIMENTAR</x:v>
      </x:c>
      <x:c r="D125" s="119" t="str">
        <x:v>Cálculo em tempo real de energia, macros, fibras, sódio e micronutrientes disponíveis.</x:v>
      </x:c>
      <x:c r="E125" s="119" t="str">
        <x:v>Parcial</x:v>
      </x:c>
      <x:c r="F125" s="120" t="n">
        <x:f>IF(E125="Implementado",1,IF(E125="Parcial",0.5,0))</x:f>
        <x:v>0.5</x:v>
      </x:c>
      <x:c r="G125" s="119" t="str">
        <x:v>src/nutri_app/ui/pages/meal_plan_page.py; src/nutri_app/repositories/meal_plan_repository.py; src/nutri_app/services/meal_plan.py; tests/test_meal_plan.py</x:v>
      </x:c>
      <x:c r="H125" s="119" t="str">
        <x:v>Faltam micronutrientes completos, equivalências seguras, lista de compras/PDF própria, versionamento e importação formal de dietas prontas.</x:v>
      </x:c>
      <x:c r="I125" s="119" t="str">
        <x:v>P1</x:v>
      </x:c>
      <x:c r="J125" s="119" t="str">
        <x:v>Média</x:v>
      </x:c>
      <x:c r="K125" s="1"/>
    </x:row>
    <x:row r="126" ht="36" hidden="0" customHeight="1">
      <x:c r="A126" s="119" t="str">
        <x:v>RF-M14-03</x:v>
      </x:c>
      <x:c r="B126" s="119" t="str">
        <x:v>Funcional</x:v>
      </x:c>
      <x:c r="C126" s="119" t="str">
        <x:v>PLANO ALIMENTAR</x:v>
      </x:c>
      <x:c r="D126" s="119" t="str">
        <x:v>Distribuição energética e proteica por refeição e comparação com necessidades.</x:v>
      </x:c>
      <x:c r="E126" s="119" t="str">
        <x:v>Implementado</x:v>
      </x:c>
      <x:c r="F126" s="120" t="n">
        <x:f>IF(E126="Implementado",1,IF(E126="Parcial",0.5,0))</x:f>
        <x:v>1</x:v>
      </x:c>
      <x:c r="G126" s="119" t="str">
        <x:v>src/nutri_app/ui/pages/meal_plan_page.py; src/nutri_app/repositories/meal_plan_repository.py; src/nutri_app/services/meal_plan.py; tests/test_meal_plan.py</x:v>
      </x:c>
      <x:c r="H126" s="119" t="str">
        <x:v>Cobertura identificada no escopo atual; ainda requer validação de uso real quando aplicável.</x:v>
      </x:c>
      <x:c r="I126" s="119" t="str">
        <x:v>—</x:v>
      </x:c>
      <x:c r="J126" s="119" t="str">
        <x:v>Alta</x:v>
      </x:c>
      <x:c r="K126" s="1"/>
    </x:row>
    <x:row r="127" ht="36" hidden="0" customHeight="1">
      <x:c r="A127" s="119" t="str">
        <x:v>RF-M14-04</x:v>
      </x:c>
      <x:c r="B127" s="119" t="str">
        <x:v>Funcional</x:v>
      </x:c>
      <x:c r="C127" s="119" t="str">
        <x:v>PLANO ALIMENTAR</x:v>
      </x:c>
      <x:c r="D127" s="119" t="str">
        <x:v>Substituições quantitativas por equivalência e alternativas compatíveis com alergias e preferências.</x:v>
      </x:c>
      <x:c r="E127" s="119" t="str">
        <x:v>Parcial</x:v>
      </x:c>
      <x:c r="F127" s="120" t="n">
        <x:f>IF(E127="Implementado",1,IF(E127="Parcial",0.5,0))</x:f>
        <x:v>0.5</x:v>
      </x:c>
      <x:c r="G127" s="119" t="str">
        <x:v>src/nutri_app/ui/pages/meal_plan_page.py; src/nutri_app/repositories/meal_plan_repository.py; src/nutri_app/services/meal_plan.py; tests/test_meal_plan.py</x:v>
      </x:c>
      <x:c r="H127" s="119" t="str">
        <x:v>Faltam micronutrientes completos, equivalências seguras, lista de compras/PDF própria, versionamento e importação formal de dietas prontas.</x:v>
      </x:c>
      <x:c r="I127" s="119" t="str">
        <x:v>P1</x:v>
      </x:c>
      <x:c r="J127" s="119" t="str">
        <x:v>Média</x:v>
      </x:c>
      <x:c r="K127" s="1"/>
    </x:row>
    <x:row r="128" ht="36" hidden="0" customHeight="1">
      <x:c r="A128" s="119" t="str">
        <x:v>RF-M14-05</x:v>
      </x:c>
      <x:c r="B128" s="119" t="str">
        <x:v>Funcional</x:v>
      </x:c>
      <x:c r="C128" s="119" t="str">
        <x:v>PLANO ALIMENTAR</x:v>
      </x:c>
      <x:c r="D128" s="119" t="str">
        <x:v>Lista de compras, impressão/PDF, publicação no portal e histórico de versões.</x:v>
      </x:c>
      <x:c r="E128" s="119" t="str">
        <x:v>Parcial</x:v>
      </x:c>
      <x:c r="F128" s="120" t="n">
        <x:f>IF(E128="Implementado",1,IF(E128="Parcial",0.5,0))</x:f>
        <x:v>0.5</x:v>
      </x:c>
      <x:c r="G128" s="119" t="str">
        <x:v>src/nutri_app/ui/pages/meal_plan_page.py; src/nutri_app/repositories/meal_plan_repository.py; src/nutri_app/services/meal_plan.py; tests/test_meal_plan.py</x:v>
      </x:c>
      <x:c r="H128" s="119" t="str">
        <x:v>Faltam micronutrientes completos, equivalências seguras, lista de compras/PDF própria, versionamento e importação formal de dietas prontas.</x:v>
      </x:c>
      <x:c r="I128" s="119" t="str">
        <x:v>P1</x:v>
      </x:c>
      <x:c r="J128" s="119" t="str">
        <x:v>Média</x:v>
      </x:c>
      <x:c r="K128" s="1"/>
    </x:row>
    <x:row r="129" ht="36" hidden="0" customHeight="1">
      <x:c r="A129" s="119" t="str">
        <x:v>RF-M14-06</x:v>
      </x:c>
      <x:c r="B129" s="119" t="str">
        <x:v>Funcional</x:v>
      </x:c>
      <x:c r="C129" s="119" t="str">
        <x:v>PLANO ALIMENTAR</x:v>
      </x:c>
      <x:c r="D129" s="119" t="str">
        <x:v>Importação de dieta pronta ou receita sem perder a possibilidade de individualização.</x:v>
      </x:c>
      <x:c r="E129" s="119" t="str">
        <x:v>Parcial</x:v>
      </x:c>
      <x:c r="F129" s="120" t="n">
        <x:f>IF(E129="Implementado",1,IF(E129="Parcial",0.5,0))</x:f>
        <x:v>0.5</x:v>
      </x:c>
      <x:c r="G129" s="119" t="str">
        <x:v>src/nutri_app/ui/pages/meal_plan_page.py; src/nutri_app/repositories/meal_plan_repository.py; src/nutri_app/services/meal_plan.py; tests/test_meal_plan.py</x:v>
      </x:c>
      <x:c r="H129" s="119" t="str">
        <x:v>Faltam micronutrientes completos, equivalências seguras, lista de compras/PDF própria, versionamento e importação formal de dietas prontas.</x:v>
      </x:c>
      <x:c r="I129" s="119" t="str">
        <x:v>P1</x:v>
      </x:c>
      <x:c r="J129" s="119" t="str">
        <x:v>Média</x:v>
      </x:c>
      <x:c r="K129" s="1"/>
    </x:row>
    <x:row r="130" ht="36" hidden="0" customHeight="1">
      <x:c r="A130" s="119" t="str">
        <x:v>RN-M14-01</x:v>
      </x:c>
      <x:c r="B130" s="119" t="str">
        <x:v>Regra de negócio</x:v>
      </x:c>
      <x:c r="C130" s="119" t="str">
        <x:v>PLANO ALIMENTAR</x:v>
      </x:c>
      <x:c r="D130" s="119" t="str">
        <x:v>Usar exclusivamente itens versionados do Banco de Alimentos e Receitas.</x:v>
      </x:c>
      <x:c r="E130" s="119" t="str">
        <x:v>Parcial</x:v>
      </x:c>
      <x:c r="F130" s="120" t="n">
        <x:f>IF(E130="Implementado",1,IF(E130="Parcial",0.5,0))</x:f>
        <x:v>0.5</x:v>
      </x:c>
      <x:c r="G130" s="119" t="str">
        <x:v>src/nutri_app/ui/pages/meal_plan_page.py; src/nutri_app/repositories/meal_plan_repository.py; src/nutri_app/services/meal_plan.py; tests/test_meal_plan.py</x:v>
      </x:c>
      <x:c r="H130" s="119" t="str">
        <x:v>Faltam micronutrientes completos, equivalências seguras, lista de compras/PDF própria, versionamento e importação formal de dietas prontas.</x:v>
      </x:c>
      <x:c r="I130" s="119" t="str">
        <x:v>P1</x:v>
      </x:c>
      <x:c r="J130" s="119" t="str">
        <x:v>Média</x:v>
      </x:c>
      <x:c r="K130" s="1"/>
    </x:row>
    <x:row r="131" ht="36" hidden="0" customHeight="1">
      <x:c r="A131" s="119" t="str">
        <x:v>RN-M14-02</x:v>
      </x:c>
      <x:c r="B131" s="119" t="str">
        <x:v>Regra de negócio</x:v>
      </x:c>
      <x:c r="C131" s="119" t="str">
        <x:v>PLANO ALIMENTAR</x:v>
      </x:c>
      <x:c r="D131" s="119" t="str">
        <x:v>Alterações no plano não modificam retroativamente planos já entregues ao paciente.</x:v>
      </x:c>
      <x:c r="E131" s="119" t="str">
        <x:v>Implementado</x:v>
      </x:c>
      <x:c r="F131" s="120" t="n">
        <x:f>IF(E131="Implementado",1,IF(E131="Parcial",0.5,0))</x:f>
        <x:v>1</x:v>
      </x:c>
      <x:c r="G131" s="119" t="str">
        <x:v>src/nutri_app/ui/pages/meal_plan_page.py; src/nutri_app/repositories/meal_plan_repository.py; src/nutri_app/services/meal_plan.py; tests/test_meal_plan.py</x:v>
      </x:c>
      <x:c r="H131" s="119" t="str">
        <x:v>Cobertura identificada no escopo atual; ainda requer validação de uso real quando aplicável.</x:v>
      </x:c>
      <x:c r="I131" s="119" t="str">
        <x:v>—</x:v>
      </x:c>
      <x:c r="J131" s="119" t="str">
        <x:v>Alta</x:v>
      </x:c>
      <x:c r="K131" s="1"/>
    </x:row>
    <x:row r="132" ht="36" hidden="0" customHeight="1">
      <x:c r="A132" s="119" t="str">
        <x:v>RF-M15-01</x:v>
      </x:c>
      <x:c r="B132" s="119" t="str">
        <x:v>Funcional</x:v>
      </x:c>
      <x:c r="C132" s="119" t="str">
        <x:v>DIETAS PRONTAS</x:v>
      </x:c>
      <x:c r="D132" s="119" t="str">
        <x:v>Cadastro de nome, categoria, indicação, consistência, composição, fracionamento, restrições e observações.</x:v>
      </x:c>
      <x:c r="E132" s="119" t="str">
        <x:v>Não identificado</x:v>
      </x:c>
      <x:c r="F132" s="120" t="n">
        <x:f>IF(E132="Implementado",1,IF(E132="Parcial",0.5,0))</x:f>
        <x:v>0</x:v>
      </x:c>
      <x:c r="G132" s="119" t="str">
        <x:v>src/nutri_app/ui/main_window.py; database/schema.sql</x:v>
      </x:c>
      <x:c r="H132" s="119" t="str">
        <x:v>Não foi identificada evidência suficiente para este requisito. Implementar biblioteca versionada de modelos de dieta, filtros, autoria, aplicação individualizada e manual institucional.</x:v>
      </x:c>
      <x:c r="I132" s="119" t="str">
        <x:v>P2</x:v>
      </x:c>
      <x:c r="J132" s="119" t="str">
        <x:v>Média</x:v>
      </x:c>
      <x:c r="K132" s="1"/>
    </x:row>
    <x:row r="133" ht="36" hidden="0" customHeight="1">
      <x:c r="A133" s="119" t="str">
        <x:v>RF-M15-02</x:v>
      </x:c>
      <x:c r="B133" s="119" t="str">
        <x:v>Funcional</x:v>
      </x:c>
      <x:c r="C133" s="119" t="str">
        <x:v>DIETAS PRONTAS</x:v>
      </x:c>
      <x:c r="D133" s="119" t="str">
        <x:v>Modelo de refeições com alimentos, preparações, porções e estimativa nutricional.</x:v>
      </x:c>
      <x:c r="E133" s="119" t="str">
        <x:v>Não identificado</x:v>
      </x:c>
      <x:c r="F133" s="120" t="n">
        <x:f>IF(E133="Implementado",1,IF(E133="Parcial",0.5,0))</x:f>
        <x:v>0</x:v>
      </x:c>
      <x:c r="G133" s="119" t="str">
        <x:v>src/nutri_app/ui/main_window.py; database/schema.sql</x:v>
      </x:c>
      <x:c r="H133" s="119" t="str">
        <x:v>Não foi identificada evidência suficiente para este requisito. Implementar biblioteca versionada de modelos de dieta, filtros, autoria, aplicação individualizada e manual institucional.</x:v>
      </x:c>
      <x:c r="I133" s="119" t="str">
        <x:v>P2</x:v>
      </x:c>
      <x:c r="J133" s="119" t="str">
        <x:v>Média</x:v>
      </x:c>
      <x:c r="K133" s="1"/>
    </x:row>
    <x:row r="134" ht="36" hidden="0" customHeight="1">
      <x:c r="A134" s="119" t="str">
        <x:v>RF-M15-03</x:v>
      </x:c>
      <x:c r="B134" s="119" t="str">
        <x:v>Funcional</x:v>
      </x:c>
      <x:c r="C134" s="119" t="str">
        <x:v>DIETAS PRONTAS</x:v>
      </x:c>
      <x:c r="D134" s="119" t="str">
        <x:v>Busca, filtros, duplicação controlada, ativação/inativação, versão e autoria.</x:v>
      </x:c>
      <x:c r="E134" s="119" t="str">
        <x:v>Não identificado</x:v>
      </x:c>
      <x:c r="F134" s="120" t="n">
        <x:f>IF(E134="Implementado",1,IF(E134="Parcial",0.5,0))</x:f>
        <x:v>0</x:v>
      </x:c>
      <x:c r="G134" s="119" t="str">
        <x:v>src/nutri_app/ui/main_window.py; database/schema.sql</x:v>
      </x:c>
      <x:c r="H134" s="119" t="str">
        <x:v>Não foi identificada evidência suficiente para este requisito. Implementar biblioteca versionada de modelos de dieta, filtros, autoria, aplicação individualizada e manual institucional.</x:v>
      </x:c>
      <x:c r="I134" s="119" t="str">
        <x:v>P2</x:v>
      </x:c>
      <x:c r="J134" s="119" t="str">
        <x:v>Média</x:v>
      </x:c>
      <x:c r="K134" s="1"/>
    </x:row>
    <x:row r="135" ht="36" hidden="0" customHeight="1">
      <x:c r="A135" s="119" t="str">
        <x:v>RF-M15-04</x:v>
      </x:c>
      <x:c r="B135" s="119" t="str">
        <x:v>Funcional</x:v>
      </x:c>
      <x:c r="C135" s="119" t="str">
        <x:v>DIETAS PRONTAS</x:v>
      </x:c>
      <x:c r="D135" s="119" t="str">
        <x:v>Aplicação ao plano ou prescrição com cópia versionada e posterior individualização.</x:v>
      </x:c>
      <x:c r="E135" s="119" t="str">
        <x:v>Não identificado</x:v>
      </x:c>
      <x:c r="F135" s="120" t="n">
        <x:f>IF(E135="Implementado",1,IF(E135="Parcial",0.5,0))</x:f>
        <x:v>0</x:v>
      </x:c>
      <x:c r="G135" s="119" t="str">
        <x:v>src/nutri_app/ui/main_window.py; database/schema.sql</x:v>
      </x:c>
      <x:c r="H135" s="119" t="str">
        <x:v>Não foi identificada evidência suficiente para este requisito. Implementar biblioteca versionada de modelos de dieta, filtros, autoria, aplicação individualizada e manual institucional.</x:v>
      </x:c>
      <x:c r="I135" s="119" t="str">
        <x:v>P2</x:v>
      </x:c>
      <x:c r="J135" s="119" t="str">
        <x:v>Média</x:v>
      </x:c>
      <x:c r="K135" s="1"/>
    </x:row>
    <x:row r="136" ht="36" hidden="0" customHeight="1">
      <x:c r="A136" s="119" t="str">
        <x:v>RF-M15-05</x:v>
      </x:c>
      <x:c r="B136" s="119" t="str">
        <x:v>Funcional</x:v>
      </x:c>
      <x:c r="C136" s="119" t="str">
        <x:v>DIETAS PRONTAS</x:v>
      </x:c>
      <x:c r="D136" s="119" t="str">
        <x:v>Associação ao manual de dietas da instituição e revisão periódica.</x:v>
      </x:c>
      <x:c r="E136" s="119" t="str">
        <x:v>Não identificado</x:v>
      </x:c>
      <x:c r="F136" s="120" t="n">
        <x:f>IF(E136="Implementado",1,IF(E136="Parcial",0.5,0))</x:f>
        <x:v>0</x:v>
      </x:c>
      <x:c r="G136" s="119" t="str">
        <x:v>src/nutri_app/ui/main_window.py; database/schema.sql</x:v>
      </x:c>
      <x:c r="H136" s="119" t="str">
        <x:v>Não foi identificada evidência suficiente para este requisito. Implementar biblioteca versionada de modelos de dieta, filtros, autoria, aplicação individualizada e manual institucional.</x:v>
      </x:c>
      <x:c r="I136" s="119" t="str">
        <x:v>P2</x:v>
      </x:c>
      <x:c r="J136" s="119" t="str">
        <x:v>Média</x:v>
      </x:c>
      <x:c r="K136" s="1"/>
    </x:row>
    <x:row r="137" ht="36" hidden="0" customHeight="1">
      <x:c r="A137" s="119" t="str">
        <x:v>RN-M15-01</x:v>
      </x:c>
      <x:c r="B137" s="119" t="str">
        <x:v>Regra de negócio</x:v>
      </x:c>
      <x:c r="C137" s="119" t="str">
        <x:v>DIETAS PRONTAS</x:v>
      </x:c>
      <x:c r="D137" s="119" t="str">
        <x:v>Dieta pronta é modelo, não prescrição definitiva; deve ser confirmada para cada paciente.</x:v>
      </x:c>
      <x:c r="E137" s="119" t="str">
        <x:v>Não identificado</x:v>
      </x:c>
      <x:c r="F137" s="120" t="n">
        <x:f>IF(E137="Implementado",1,IF(E137="Parcial",0.5,0))</x:f>
        <x:v>0</x:v>
      </x:c>
      <x:c r="G137" s="119" t="str">
        <x:v>src/nutri_app/ui/main_window.py; database/schema.sql</x:v>
      </x:c>
      <x:c r="H137" s="119" t="str">
        <x:v>Não foi identificada evidência suficiente para este requisito. Implementar biblioteca versionada de modelos de dieta, filtros, autoria, aplicação individualizada e manual institucional.</x:v>
      </x:c>
      <x:c r="I137" s="119" t="str">
        <x:v>P2</x:v>
      </x:c>
      <x:c r="J137" s="119" t="str">
        <x:v>Média</x:v>
      </x:c>
      <x:c r="K137" s="1"/>
    </x:row>
    <x:row r="138" ht="36" hidden="0" customHeight="1">
      <x:c r="A138" s="119" t="str">
        <x:v>RN-M15-02</x:v>
      </x:c>
      <x:c r="B138" s="119" t="str">
        <x:v>Regra de negócio</x:v>
      </x:c>
      <x:c r="C138" s="119" t="str">
        <x:v>DIETAS PRONTAS</x:v>
      </x:c>
      <x:c r="D138" s="119" t="str">
        <x:v>Atualizar um modelo não altera prescrições históricas.</x:v>
      </x:c>
      <x:c r="E138" s="119" t="str">
        <x:v>Não identificado</x:v>
      </x:c>
      <x:c r="F138" s="120" t="n">
        <x:f>IF(E138="Implementado",1,IF(E138="Parcial",0.5,0))</x:f>
        <x:v>0</x:v>
      </x:c>
      <x:c r="G138" s="119" t="str">
        <x:v>src/nutri_app/ui/main_window.py; database/schema.sql</x:v>
      </x:c>
      <x:c r="H138" s="119" t="str">
        <x:v>Não foi identificada evidência suficiente para este requisito. Implementar biblioteca versionada de modelos de dieta, filtros, autoria, aplicação individualizada e manual institucional.</x:v>
      </x:c>
      <x:c r="I138" s="119" t="str">
        <x:v>P2</x:v>
      </x:c>
      <x:c r="J138" s="119" t="str">
        <x:v>Média</x:v>
      </x:c>
      <x:c r="K138" s="1"/>
    </x:row>
    <x:row r="139" ht="36" hidden="0" customHeight="1">
      <x:c r="A139" s="119" t="str">
        <x:v>RF-M16-01</x:v>
      </x:c>
      <x:c r="B139" s="119" t="str">
        <x:v>Funcional</x:v>
      </x:c>
      <x:c r="C139" s="119" t="str">
        <x:v>BANCO DE ALIMENTOS</x:v>
      </x:c>
      <x:c r="D139" s="119" t="str">
        <x:v>Integração de bases oficiais como TACO, TBCA, USDA e IBGE, respeitando licença, versão e origem.</x:v>
      </x:c>
      <x:c r="E139" s="119" t="str">
        <x:v>Parcial</x:v>
      </x:c>
      <x:c r="F139" s="120" t="n">
        <x:f>IF(E139="Implementado",1,IF(E139="Parcial",0.5,0))</x:f>
        <x:v>0.5</x:v>
      </x:c>
      <x:c r="G139" s="119" t="str">
        <x:v>src/nutri_app/ui/pages/food_database_page.py; src/nutri_app/repositories/food_repository.py; src/nutri_app/services/food.py; tests/test_food_database.py</x:v>
      </x:c>
      <x:c r="H139" s="119" t="str">
        <x:v>Faltam integração governada com bases oficiais, licença/versão/data por valor, conflitos, sinônimos/marca e composição lipídica detalhada.</x:v>
      </x:c>
      <x:c r="I139" s="119" t="str">
        <x:v>P1</x:v>
      </x:c>
      <x:c r="J139" s="119" t="str">
        <x:v>Média</x:v>
      </x:c>
      <x:c r="K139" s="1"/>
    </x:row>
    <x:row r="140" ht="36" hidden="0" customHeight="1">
      <x:c r="A140" s="119" t="str">
        <x:v>RF-M16-02</x:v>
      </x:c>
      <x:c r="B140" s="119" t="str">
        <x:v>Funcional</x:v>
      </x:c>
      <x:c r="C140" s="119" t="str">
        <x:v>BANCO DE ALIMENTOS</x:v>
      </x:c>
      <x:c r="D140" s="119" t="str">
        <x:v>Cadastro por 100 g/mL de energia, macros, fibras, minerais, vitaminas, colesterol e ácidos graxos disponíveis.</x:v>
      </x:c>
      <x:c r="E140" s="119" t="str">
        <x:v>Parcial</x:v>
      </x:c>
      <x:c r="F140" s="120" t="n">
        <x:f>IF(E140="Implementado",1,IF(E140="Parcial",0.5,0))</x:f>
        <x:v>0.5</x:v>
      </x:c>
      <x:c r="G140" s="119" t="str">
        <x:v>src/nutri_app/ui/pages/food_database_page.py; src/nutri_app/repositories/food_repository.py; src/nutri_app/services/food.py; tests/test_food_database.py</x:v>
      </x:c>
      <x:c r="H140" s="119" t="str">
        <x:v>Faltam integração governada com bases oficiais, licença/versão/data por valor, conflitos, sinônimos/marca e composição lipídica detalhada.</x:v>
      </x:c>
      <x:c r="I140" s="119" t="str">
        <x:v>P1</x:v>
      </x:c>
      <x:c r="J140" s="119" t="str">
        <x:v>Média</x:v>
      </x:c>
      <x:c r="K140" s="1"/>
    </x:row>
    <x:row r="141" ht="36" hidden="0" customHeight="1">
      <x:c r="A141" s="119" t="str">
        <x:v>RF-M16-03</x:v>
      </x:c>
      <x:c r="B141" s="119" t="str">
        <x:v>Funcional</x:v>
      </x:c>
      <x:c r="C141" s="119" t="str">
        <x:v>BANCO DE ALIMENTOS</x:v>
      </x:c>
      <x:c r="D141" s="119" t="str">
        <x:v>Medidas caseiras, porções, densidade, rendimento, grupo alimentar, marca e alimento industrializado.</x:v>
      </x:c>
      <x:c r="E141" s="119" t="str">
        <x:v>Parcial</x:v>
      </x:c>
      <x:c r="F141" s="120" t="n">
        <x:f>IF(E141="Implementado",1,IF(E141="Parcial",0.5,0))</x:f>
        <x:v>0.5</x:v>
      </x:c>
      <x:c r="G141" s="119" t="str">
        <x:v>src/nutri_app/ui/pages/food_database_page.py; src/nutri_app/repositories/food_repository.py; src/nutri_app/services/food.py; tests/test_food_database.py</x:v>
      </x:c>
      <x:c r="H141" s="119" t="str">
        <x:v>Faltam integração governada com bases oficiais, licença/versão/data por valor, conflitos, sinônimos/marca e composição lipídica detalhada.</x:v>
      </x:c>
      <x:c r="I141" s="119" t="str">
        <x:v>P1</x:v>
      </x:c>
      <x:c r="J141" s="119" t="str">
        <x:v>Média</x:v>
      </x:c>
      <x:c r="K141" s="1"/>
    </x:row>
    <x:row r="142" ht="36" hidden="0" customHeight="1">
      <x:c r="A142" s="119" t="str">
        <x:v>RF-M16-04</x:v>
      </x:c>
      <x:c r="B142" s="119" t="str">
        <x:v>Funcional</x:v>
      </x:c>
      <x:c r="C142" s="119" t="str">
        <x:v>BANCO DE ALIMENTOS</x:v>
      </x:c>
      <x:c r="D142" s="119" t="str">
        <x:v>Importação, atualização, comparação de versões, detecção de conflitos e validação de linhas.</x:v>
      </x:c>
      <x:c r="E142" s="119" t="str">
        <x:v>Não identificado</x:v>
      </x:c>
      <x:c r="F142" s="120" t="n">
        <x:f>IF(E142="Implementado",1,IF(E142="Parcial",0.5,0))</x:f>
        <x:v>0</x:v>
      </x:c>
      <x:c r="G142" s="119" t="str">
        <x:v>src/nutri_app/ui/pages/food_database_page.py; src/nutri_app/repositories/food_repository.py; src/nutri_app/services/food.py; tests/test_food_database.py</x:v>
      </x:c>
      <x:c r="H142" s="119" t="str">
        <x:v>Não foi identificada evidência suficiente para este requisito. Faltam integração governada com bases oficiais, licença/versão/data por valor, conflitos, sinônimos/marca e composição lipídica detalhada.</x:v>
      </x:c>
      <x:c r="I142" s="119" t="str">
        <x:v>P1</x:v>
      </x:c>
      <x:c r="J142" s="119" t="str">
        <x:v>Média</x:v>
      </x:c>
      <x:c r="K142" s="1"/>
    </x:row>
    <x:row r="143" ht="36" hidden="0" customHeight="1">
      <x:c r="A143" s="119" t="str">
        <x:v>RF-M16-05</x:v>
      </x:c>
      <x:c r="B143" s="119" t="str">
        <x:v>Funcional</x:v>
      </x:c>
      <x:c r="C143" s="119" t="str">
        <x:v>BANCO DE ALIMENTOS</x:v>
      </x:c>
      <x:c r="D143" s="119" t="str">
        <x:v>Busca por nome, sinônimo, marca, grupo e fonte, com inativação em vez de exclusão quando referenciado.</x:v>
      </x:c>
      <x:c r="E143" s="119" t="str">
        <x:v>Parcial</x:v>
      </x:c>
      <x:c r="F143" s="120" t="n">
        <x:f>IF(E143="Implementado",1,IF(E143="Parcial",0.5,0))</x:f>
        <x:v>0.5</x:v>
      </x:c>
      <x:c r="G143" s="119" t="str">
        <x:v>src/nutri_app/ui/pages/food_database_page.py; src/nutri_app/repositories/food_repository.py; src/nutri_app/services/food.py; tests/test_food_database.py</x:v>
      </x:c>
      <x:c r="H143" s="119" t="str">
        <x:v>Faltam integração governada com bases oficiais, licença/versão/data por valor, conflitos, sinônimos/marca e composição lipídica detalhada.</x:v>
      </x:c>
      <x:c r="I143" s="119" t="str">
        <x:v>P1</x:v>
      </x:c>
      <x:c r="J143" s="119" t="str">
        <x:v>Média</x:v>
      </x:c>
      <x:c r="K143" s="1"/>
    </x:row>
    <x:row r="144" ht="36" hidden="0" customHeight="1">
      <x:c r="A144" s="119" t="str">
        <x:v>RN-M16-01</x:v>
      </x:c>
      <x:c r="B144" s="119" t="str">
        <x:v>Regra de negócio</x:v>
      </x:c>
      <x:c r="C144" s="119" t="str">
        <x:v>BANCO DE ALIMENTOS</x:v>
      </x:c>
      <x:c r="D144" s="119" t="str">
        <x:v>Cada valor deve manter fonte, versão, licença, unidade e data de importação.</x:v>
      </x:c>
      <x:c r="E144" s="119" t="str">
        <x:v>Parcial</x:v>
      </x:c>
      <x:c r="F144" s="120" t="n">
        <x:f>IF(E144="Implementado",1,IF(E144="Parcial",0.5,0))</x:f>
        <x:v>0.5</x:v>
      </x:c>
      <x:c r="G144" s="119" t="str">
        <x:v>src/nutri_app/ui/pages/food_database_page.py; src/nutri_app/repositories/food_repository.py; src/nutri_app/services/food.py; tests/test_food_database.py</x:v>
      </x:c>
      <x:c r="H144" s="119" t="str">
        <x:v>Faltam integração governada com bases oficiais, licença/versão/data por valor, conflitos, sinônimos/marca e composição lipídica detalhada.</x:v>
      </x:c>
      <x:c r="I144" s="119" t="str">
        <x:v>P1</x:v>
      </x:c>
      <x:c r="J144" s="119" t="str">
        <x:v>Média</x:v>
      </x:c>
      <x:c r="K144" s="1"/>
    </x:row>
    <x:row r="145" ht="36" hidden="0" customHeight="1">
      <x:c r="A145" s="119" t="str">
        <x:v>RN-M16-02</x:v>
      </x:c>
      <x:c r="B145" s="119" t="str">
        <x:v>Regra de negócio</x:v>
      </x:c>
      <x:c r="C145" s="119" t="str">
        <x:v>BANCO DE ALIMENTOS</x:v>
      </x:c>
      <x:c r="D145" s="119" t="str">
        <x:v>Receitas, recordatórios e planos consultam esta base; não devem criar tabelas nutricionais paralelas.</x:v>
      </x:c>
      <x:c r="E145" s="119" t="str">
        <x:v>Parcial</x:v>
      </x:c>
      <x:c r="F145" s="120" t="n">
        <x:f>IF(E145="Implementado",1,IF(E145="Parcial",0.5,0))</x:f>
        <x:v>0.5</x:v>
      </x:c>
      <x:c r="G145" s="119" t="str">
        <x:v>src/nutri_app/ui/pages/food_database_page.py; src/nutri_app/repositories/food_repository.py; src/nutri_app/services/food.py; tests/test_food_database.py</x:v>
      </x:c>
      <x:c r="H145" s="119" t="str">
        <x:v>Faltam integração governada com bases oficiais, licença/versão/data por valor, conflitos, sinônimos/marca e composição lipídica detalhada.</x:v>
      </x:c>
      <x:c r="I145" s="119" t="str">
        <x:v>P1</x:v>
      </x:c>
      <x:c r="J145" s="119" t="str">
        <x:v>Média</x:v>
      </x:c>
      <x:c r="K145" s="1"/>
    </x:row>
    <x:row r="146" ht="36" hidden="0" customHeight="1">
      <x:c r="A146" s="119" t="str">
        <x:v>RF-M17-01</x:v>
      </x:c>
      <x:c r="B146" s="119" t="str">
        <x:v>Funcional</x:v>
      </x:c>
      <x:c r="C146" s="119" t="str">
        <x:v>RECEITAS</x:v>
      </x:c>
      <x:c r="D146" s="119" t="str">
        <x:v>Nome, categoria, descrição, ingredientes, modo de preparo, rendimento, porção, tempo, conservação e alergênicos.</x:v>
      </x:c>
      <x:c r="E146" s="119" t="str">
        <x:v>Parcial</x:v>
      </x:c>
      <x:c r="F146" s="120" t="n">
        <x:f>IF(E146="Implementado",1,IF(E146="Parcial",0.5,0))</x:f>
        <x:v>0.5</x:v>
      </x:c>
      <x:c r="G146" s="119" t="str">
        <x:v>src/nutri_app/ui/pages/recipes_page.py; src/nutri_app/repositories/recipe_repository.py; src/nutri_app/services/recipe.py; tests/test_recipes.py</x:v>
      </x:c>
      <x:c r="H146" s="119" t="str">
        <x:v>Faltam fatores de correção/cocção/custo, alergênicos derivados, versão/autoria, ficha técnica, etiquetas e publicação profissional.</x:v>
      </x:c>
      <x:c r="I146" s="119" t="str">
        <x:v>P2</x:v>
      </x:c>
      <x:c r="J146" s="119" t="str">
        <x:v>Média</x:v>
      </x:c>
      <x:c r="K146" s="1"/>
    </x:row>
    <x:row r="147" ht="36" hidden="0" customHeight="1">
      <x:c r="A147" s="119" t="str">
        <x:v>RF-M17-02</x:v>
      </x:c>
      <x:c r="B147" s="119" t="str">
        <x:v>Funcional</x:v>
      </x:c>
      <x:c r="C147" s="119" t="str">
        <x:v>RECEITAS</x:v>
      </x:c>
      <x:c r="D147" s="119" t="str">
        <x:v>Peso bruto/líquido, fator de correção, fator de cocção, custo e perdas quando aplicável.</x:v>
      </x:c>
      <x:c r="E147" s="119" t="str">
        <x:v>Parcial</x:v>
      </x:c>
      <x:c r="F147" s="120" t="n">
        <x:f>IF(E147="Implementado",1,IF(E147="Parcial",0.5,0))</x:f>
        <x:v>0.5</x:v>
      </x:c>
      <x:c r="G147" s="119" t="str">
        <x:v>src/nutri_app/ui/pages/recipes_page.py; src/nutri_app/repositories/recipe_repository.py; src/nutri_app/services/recipe.py; tests/test_recipes.py</x:v>
      </x:c>
      <x:c r="H147" s="119" t="str">
        <x:v>Faltam fatores de correção/cocção/custo, alergênicos derivados, versão/autoria, ficha técnica, etiquetas e publicação profissional.</x:v>
      </x:c>
      <x:c r="I147" s="119" t="str">
        <x:v>P2</x:v>
      </x:c>
      <x:c r="J147" s="119" t="str">
        <x:v>Média</x:v>
      </x:c>
      <x:c r="K147" s="1"/>
    </x:row>
    <x:row r="148" ht="36" hidden="0" customHeight="1">
      <x:c r="A148" s="119" t="str">
        <x:v>RF-M17-03</x:v>
      </x:c>
      <x:c r="B148" s="119" t="str">
        <x:v>Funcional</x:v>
      </x:c>
      <x:c r="C148" s="119" t="str">
        <x:v>RECEITAS</x:v>
      </x:c>
      <x:c r="D148" s="119" t="str">
        <x:v>Cálculo por receita, porção e 100 g com base no Banco de Alimentos.</x:v>
      </x:c>
      <x:c r="E148" s="119" t="str">
        <x:v>Implementado</x:v>
      </x:c>
      <x:c r="F148" s="120" t="n">
        <x:f>IF(E148="Implementado",1,IF(E148="Parcial",0.5,0))</x:f>
        <x:v>1</x:v>
      </x:c>
      <x:c r="G148" s="119" t="str">
        <x:v>src/nutri_app/ui/pages/recipes_page.py; src/nutri_app/repositories/recipe_repository.py; src/nutri_app/services/recipe.py; tests/test_recipes.py</x:v>
      </x:c>
      <x:c r="H148" s="119" t="str">
        <x:v>Cobertura identificada no escopo atual; ainda requer validação de uso real quando aplicável.</x:v>
      </x:c>
      <x:c r="I148" s="119" t="str">
        <x:v>—</x:v>
      </x:c>
      <x:c r="J148" s="119" t="str">
        <x:v>Alta</x:v>
      </x:c>
      <x:c r="K148" s="1"/>
    </x:row>
    <x:row r="149" ht="36" hidden="0" customHeight="1">
      <x:c r="A149" s="119" t="str">
        <x:v>RF-M17-04</x:v>
      </x:c>
      <x:c r="B149" s="119" t="str">
        <x:v>Funcional</x:v>
      </x:c>
      <x:c r="C149" s="119" t="str">
        <x:v>RECEITAS</x:v>
      </x:c>
      <x:c r="D149" s="119" t="str">
        <x:v>Fotos opcionais, etiquetas, ficha técnica e impressão/publicação profissional.</x:v>
      </x:c>
      <x:c r="E149" s="119" t="str">
        <x:v>Parcial</x:v>
      </x:c>
      <x:c r="F149" s="120" t="n">
        <x:f>IF(E149="Implementado",1,IF(E149="Parcial",0.5,0))</x:f>
        <x:v>0.5</x:v>
      </x:c>
      <x:c r="G149" s="119" t="str">
        <x:v>src/nutri_app/ui/pages/recipes_page.py; src/nutri_app/repositories/recipe_repository.py; src/nutri_app/services/recipe.py; tests/test_recipes.py</x:v>
      </x:c>
      <x:c r="H149" s="119" t="str">
        <x:v>Faltam fatores de correção/cocção/custo, alergênicos derivados, versão/autoria, ficha técnica, etiquetas e publicação profissional.</x:v>
      </x:c>
      <x:c r="I149" s="119" t="str">
        <x:v>P2</x:v>
      </x:c>
      <x:c r="J149" s="119" t="str">
        <x:v>Média</x:v>
      </x:c>
      <x:c r="K149" s="1"/>
    </x:row>
    <x:row r="150" ht="36" hidden="0" customHeight="1">
      <x:c r="A150" s="119" t="str">
        <x:v>RF-M17-05</x:v>
      </x:c>
      <x:c r="B150" s="119" t="str">
        <x:v>Funcional</x:v>
      </x:c>
      <x:c r="C150" s="119" t="str">
        <x:v>RECEITAS</x:v>
      </x:c>
      <x:c r="D150" s="119" t="str">
        <x:v>Pesquisa, filtros, duplicação, versionamento, autoria e status ativo/inativo.</x:v>
      </x:c>
      <x:c r="E150" s="119" t="str">
        <x:v>Parcial</x:v>
      </x:c>
      <x:c r="F150" s="120" t="n">
        <x:f>IF(E150="Implementado",1,IF(E150="Parcial",0.5,0))</x:f>
        <x:v>0.5</x:v>
      </x:c>
      <x:c r="G150" s="119" t="str">
        <x:v>src/nutri_app/ui/pages/recipes_page.py; src/nutri_app/repositories/recipe_repository.py; src/nutri_app/services/recipe.py; tests/test_recipes.py</x:v>
      </x:c>
      <x:c r="H150" s="119" t="str">
        <x:v>Faltam fatores de correção/cocção/custo, alergênicos derivados, versão/autoria, ficha técnica, etiquetas e publicação profissional.</x:v>
      </x:c>
      <x:c r="I150" s="119" t="str">
        <x:v>P2</x:v>
      </x:c>
      <x:c r="J150" s="119" t="str">
        <x:v>Média</x:v>
      </x:c>
      <x:c r="K150" s="1"/>
    </x:row>
    <x:row r="151" ht="36" hidden="0" customHeight="1">
      <x:c r="A151" s="119" t="str">
        <x:v>RF-M17-06</x:v>
      </x:c>
      <x:c r="B151" s="119" t="str">
        <x:v>Funcional</x:v>
      </x:c>
      <x:c r="C151" s="119" t="str">
        <x:v>RECEITAS</x:v>
      </x:c>
      <x:c r="D151" s="119" t="str">
        <x:v>Uso no plano alimentar, dieta pronta, lista de compras e orientações.</x:v>
      </x:c>
      <x:c r="E151" s="119" t="str">
        <x:v>Parcial</x:v>
      </x:c>
      <x:c r="F151" s="120" t="n">
        <x:f>IF(E151="Implementado",1,IF(E151="Parcial",0.5,0))</x:f>
        <x:v>0.5</x:v>
      </x:c>
      <x:c r="G151" s="119" t="str">
        <x:v>src/nutri_app/ui/pages/recipes_page.py; src/nutri_app/repositories/recipe_repository.py; src/nutri_app/services/recipe.py; tests/test_recipes.py</x:v>
      </x:c>
      <x:c r="H151" s="119" t="str">
        <x:v>Faltam fatores de correção/cocção/custo, alergênicos derivados, versão/autoria, ficha técnica, etiquetas e publicação profissional.</x:v>
      </x:c>
      <x:c r="I151" s="119" t="str">
        <x:v>P2</x:v>
      </x:c>
      <x:c r="J151" s="119" t="str">
        <x:v>Média</x:v>
      </x:c>
      <x:c r="K151" s="1"/>
    </x:row>
    <x:row r="152" ht="36" hidden="0" customHeight="1">
      <x:c r="A152" s="119" t="str">
        <x:v>RN-M17-01</x:v>
      </x:c>
      <x:c r="B152" s="119" t="str">
        <x:v>Regra de negócio</x:v>
      </x:c>
      <x:c r="C152" s="119" t="str">
        <x:v>RECEITAS</x:v>
      </x:c>
      <x:c r="D152" s="119" t="str">
        <x:v>Mudança de ingrediente ou rendimento cria nova versão quando a receita já tiver sido utilizada.</x:v>
      </x:c>
      <x:c r="E152" s="119" t="str">
        <x:v>Não identificado</x:v>
      </x:c>
      <x:c r="F152" s="120" t="n">
        <x:f>IF(E152="Implementado",1,IF(E152="Parcial",0.5,0))</x:f>
        <x:v>0</x:v>
      </x:c>
      <x:c r="G152" s="119" t="str">
        <x:v>src/nutri_app/ui/pages/recipes_page.py; src/nutri_app/repositories/recipe_repository.py; src/nutri_app/services/recipe.py; tests/test_recipes.py</x:v>
      </x:c>
      <x:c r="H152" s="119" t="str">
        <x:v>Não foi identificada evidência suficiente para este requisito. Faltam fatores de correção/cocção/custo, alergênicos derivados, versão/autoria, ficha técnica, etiquetas e publicação profissional.</x:v>
      </x:c>
      <x:c r="I152" s="119" t="str">
        <x:v>P2</x:v>
      </x:c>
      <x:c r="J152" s="119" t="str">
        <x:v>Média</x:v>
      </x:c>
      <x:c r="K152" s="1"/>
    </x:row>
    <x:row r="153" ht="36" hidden="0" customHeight="1">
      <x:c r="A153" s="119" t="str">
        <x:v>RN-M17-02</x:v>
      </x:c>
      <x:c r="B153" s="119" t="str">
        <x:v>Regra de negócio</x:v>
      </x:c>
      <x:c r="C153" s="119" t="str">
        <x:v>RECEITAS</x:v>
      </x:c>
      <x:c r="D153" s="119" t="str">
        <x:v>Alergênicos devem ser derivados dos ingredientes e confirmados pelo responsável.</x:v>
      </x:c>
      <x:c r="E153" s="119" t="str">
        <x:v>Não identificado</x:v>
      </x:c>
      <x:c r="F153" s="120" t="n">
        <x:f>IF(E153="Implementado",1,IF(E153="Parcial",0.5,0))</x:f>
        <x:v>0</x:v>
      </x:c>
      <x:c r="G153" s="119" t="str">
        <x:v>src/nutri_app/ui/pages/recipes_page.py; src/nutri_app/repositories/recipe_repository.py; src/nutri_app/services/recipe.py; tests/test_recipes.py</x:v>
      </x:c>
      <x:c r="H153" s="119" t="str">
        <x:v>Não foi identificada evidência suficiente para este requisito. Faltam fatores de correção/cocção/custo, alergênicos derivados, versão/autoria, ficha técnica, etiquetas e publicação profissional.</x:v>
      </x:c>
      <x:c r="I153" s="119" t="str">
        <x:v>P2</x:v>
      </x:c>
      <x:c r="J153" s="119" t="str">
        <x:v>Média</x:v>
      </x:c>
      <x:c r="K153" s="1"/>
    </x:row>
    <x:row r="154" ht="24" hidden="0" customHeight="1">
      <x:c r="A154" s="119" t="str">
        <x:v>RF-M18-01</x:v>
      </x:c>
      <x:c r="B154" s="119" t="str">
        <x:v>Funcional</x:v>
      </x:c>
      <x:c r="C154" s="119" t="str">
        <x:v>SUPLEMENTAÇÃO NUTRICIONAL</x:v>
      </x:c>
      <x:c r="D154" s="119" t="str">
        <x:v>Ficha de produto com nome comercial, marca, fabricante, categoria, apresentação, sabor, embalagem e via.</x:v>
      </x:c>
      <x:c r="E154" s="119" t="str">
        <x:v>Parcial</x:v>
      </x:c>
      <x:c r="F154" s="120" t="n">
        <x:f>IF(E154="Implementado",1,IF(E154="Parcial",0.5,0))</x:f>
        <x:v>0.5</x:v>
      </x:c>
      <x:c r="G154" s="119" t="str">
        <x:v>src/nutri_app/ui/pages/supplements_page.py; src/nutri_app/services/supplement.py; tests/test_supplements.py</x:v>
      </x:c>
      <x:c r="H154" s="119" t="str">
        <x:v>Faltam prescrição por paciente, horários/duração, adesão/intercorrências, integração clínica e regras versionadas de interação/limites.</x:v>
      </x:c>
      <x:c r="I154" s="119" t="str">
        <x:v>P0</x:v>
      </x:c>
      <x:c r="J154" s="119" t="str">
        <x:v>Média</x:v>
      </x:c>
      <x:c r="K154" s="1"/>
    </x:row>
    <x:row r="155" ht="24" hidden="0" customHeight="1">
      <x:c r="A155" s="119" t="str">
        <x:v>RF-M18-02</x:v>
      </x:c>
      <x:c r="B155" s="119" t="str">
        <x:v>Funcional</x:v>
      </x:c>
      <x:c r="C155" s="119" t="str">
        <x:v>SUPLEMENTAÇÃO NUTRICIONAL</x:v>
      </x:c>
      <x:c r="D155" s="119" t="str">
        <x:v>Composição por porção/dose, densidade, ingredientes, alergênicos, modo de preparo e conservação.</x:v>
      </x:c>
      <x:c r="E155" s="119" t="str">
        <x:v>Parcial</x:v>
      </x:c>
      <x:c r="F155" s="120" t="n">
        <x:f>IF(E155="Implementado",1,IF(E155="Parcial",0.5,0))</x:f>
        <x:v>0.5</x:v>
      </x:c>
      <x:c r="G155" s="119" t="str">
        <x:v>src/nutri_app/ui/pages/supplements_page.py; src/nutri_app/services/supplement.py; tests/test_supplements.py</x:v>
      </x:c>
      <x:c r="H155" s="119" t="str">
        <x:v>Faltam prescrição por paciente, horários/duração, adesão/intercorrências, integração clínica e regras versionadas de interação/limites.</x:v>
      </x:c>
      <x:c r="I155" s="119" t="str">
        <x:v>P0</x:v>
      </x:c>
      <x:c r="J155" s="119" t="str">
        <x:v>Média</x:v>
      </x:c>
      <x:c r="K155" s="1"/>
    </x:row>
    <x:row r="156" ht="36" hidden="0" customHeight="1">
      <x:c r="A156" s="119" t="str">
        <x:v>RF-M18-03</x:v>
      </x:c>
      <x:c r="B156" s="119" t="str">
        <x:v>Funcional</x:v>
      </x:c>
      <x:c r="C156" s="119" t="str">
        <x:v>SUPLEMENTAÇÃO NUTRICIONAL</x:v>
      </x:c>
      <x:c r="D156" s="119" t="str">
        <x:v>Prescrição por paciente com quantidade, unidade, frequência, horários, duração, objetivo e instruções.</x:v>
      </x:c>
      <x:c r="E156" s="119" t="str">
        <x:v>Não identificado</x:v>
      </x:c>
      <x:c r="F156" s="120" t="n">
        <x:f>IF(E156="Implementado",1,IF(E156="Parcial",0.5,0))</x:f>
        <x:v>0</x:v>
      </x:c>
      <x:c r="G156" s="119" t="str">
        <x:v>src/nutri_app/ui/pages/supplements_page.py; src/nutri_app/services/supplement.py; tests/test_supplements.py</x:v>
      </x:c>
      <x:c r="H156" s="119" t="str">
        <x:v>Não foi identificada evidência suficiente para este requisito. Faltam prescrição por paciente, horários/duração, adesão/intercorrências, integração clínica e regras versionadas de interação/limites.</x:v>
      </x:c>
      <x:c r="I156" s="119" t="str">
        <x:v>P0</x:v>
      </x:c>
      <x:c r="J156" s="119" t="str">
        <x:v>Média</x:v>
      </x:c>
      <x:c r="K156" s="1"/>
    </x:row>
    <x:row r="157" ht="24" hidden="0" customHeight="1">
      <x:c r="A157" s="119" t="str">
        <x:v>RF-M18-04</x:v>
      </x:c>
      <x:c r="B157" s="119" t="str">
        <x:v>Funcional</x:v>
      </x:c>
      <x:c r="C157" s="119" t="str">
        <x:v>SUPLEMENTAÇÃO NUTRICIONAL</x:v>
      </x:c>
      <x:c r="D157" s="119" t="str">
        <x:v>Cálculo do aporte energético, proteico, hídrico e de nutrientes por dose e por dia.</x:v>
      </x:c>
      <x:c r="E157" s="119" t="str">
        <x:v>Implementado</x:v>
      </x:c>
      <x:c r="F157" s="120" t="n">
        <x:f>IF(E157="Implementado",1,IF(E157="Parcial",0.5,0))</x:f>
        <x:v>1</x:v>
      </x:c>
      <x:c r="G157" s="119" t="str">
        <x:v>src/nutri_app/ui/pages/supplements_page.py; src/nutri_app/services/supplement.py; tests/test_supplements.py</x:v>
      </x:c>
      <x:c r="H157" s="119" t="str">
        <x:v>Cobertura identificada no escopo atual; ainda requer validação de uso real quando aplicável.</x:v>
      </x:c>
      <x:c r="I157" s="119" t="str">
        <x:v>—</x:v>
      </x:c>
      <x:c r="J157" s="119" t="str">
        <x:v>Alta</x:v>
      </x:c>
      <x:c r="K157" s="1"/>
    </x:row>
    <x:row r="158" ht="36" hidden="0" customHeight="1">
      <x:c r="A158" s="119" t="str">
        <x:v>RF-M18-05</x:v>
      </x:c>
      <x:c r="B158" s="119" t="str">
        <x:v>Funcional</x:v>
      </x:c>
      <x:c r="C158" s="119" t="str">
        <x:v>SUPLEMENTAÇÃO NUTRICIONAL</x:v>
      </x:c>
      <x:c r="D158" s="119" t="str">
        <x:v>Registro de aceitação, adesão, intercorrências, resposta e motivo de suspensão.</x:v>
      </x:c>
      <x:c r="E158" s="119" t="str">
        <x:v>Não identificado</x:v>
      </x:c>
      <x:c r="F158" s="120" t="n">
        <x:f>IF(E158="Implementado",1,IF(E158="Parcial",0.5,0))</x:f>
        <x:v>0</x:v>
      </x:c>
      <x:c r="G158" s="119" t="str">
        <x:v>src/nutri_app/ui/pages/supplements_page.py; src/nutri_app/services/supplement.py; tests/test_supplements.py</x:v>
      </x:c>
      <x:c r="H158" s="119" t="str">
        <x:v>Não foi identificada evidência suficiente para este requisito. Faltam prescrição por paciente, horários/duração, adesão/intercorrências, integração clínica e regras versionadas de interação/limites.</x:v>
      </x:c>
      <x:c r="I158" s="119" t="str">
        <x:v>P0</x:v>
      </x:c>
      <x:c r="J158" s="119" t="str">
        <x:v>Média</x:v>
      </x:c>
      <x:c r="K158" s="1"/>
    </x:row>
    <x:row r="159" ht="24" hidden="0" customHeight="1">
      <x:c r="A159" s="119" t="str">
        <x:v>RF-M18-06</x:v>
      </x:c>
      <x:c r="B159" s="119" t="str">
        <x:v>Funcional</x:v>
      </x:c>
      <x:c r="C159" s="119" t="str">
        <x:v>SUPLEMENTAÇÃO NUTRICIONAL</x:v>
      </x:c>
      <x:c r="D159" s="119" t="str">
        <x:v>Catálogo versionado e integração com necessidades, prescrição, plano, evolução e relatórios.</x:v>
      </x:c>
      <x:c r="E159" s="119" t="str">
        <x:v>Parcial</x:v>
      </x:c>
      <x:c r="F159" s="120" t="n">
        <x:f>IF(E159="Implementado",1,IF(E159="Parcial",0.5,0))</x:f>
        <x:v>0.5</x:v>
      </x:c>
      <x:c r="G159" s="119" t="str">
        <x:v>src/nutri_app/ui/pages/supplements_page.py; src/nutri_app/services/supplement.py; tests/test_supplements.py</x:v>
      </x:c>
      <x:c r="H159" s="119" t="str">
        <x:v>Faltam prescrição por paciente, horários/duração, adesão/intercorrências, integração clínica e regras versionadas de interação/limites.</x:v>
      </x:c>
      <x:c r="I159" s="119" t="str">
        <x:v>P0</x:v>
      </x:c>
      <x:c r="J159" s="119" t="str">
        <x:v>Média</x:v>
      </x:c>
      <x:c r="K159" s="1"/>
    </x:row>
    <x:row r="160" ht="24" hidden="0" customHeight="1">
      <x:c r="A160" s="119" t="str">
        <x:v>RN-M18-01</x:v>
      </x:c>
      <x:c r="B160" s="119" t="str">
        <x:v>Regra de negócio</x:v>
      </x:c>
      <x:c r="C160" s="119" t="str">
        <x:v>SUPLEMENTAÇÃO NUTRICIONAL</x:v>
      </x:c>
      <x:c r="D160" s="119" t="str">
        <x:v>Limites, interações e alertas dependem de fontes regulatórias/profissionais versionadas.</x:v>
      </x:c>
      <x:c r="E160" s="119" t="str">
        <x:v>Parcial</x:v>
      </x:c>
      <x:c r="F160" s="120" t="n">
        <x:f>IF(E160="Implementado",1,IF(E160="Parcial",0.5,0))</x:f>
        <x:v>0.5</x:v>
      </x:c>
      <x:c r="G160" s="119" t="str">
        <x:v>src/nutri_app/ui/pages/supplements_page.py; src/nutri_app/services/supplement.py; tests/test_supplements.py</x:v>
      </x:c>
      <x:c r="H160" s="119" t="str">
        <x:v>Faltam prescrição por paciente, horários/duração, adesão/intercorrências, integração clínica e regras versionadas de interação/limites.</x:v>
      </x:c>
      <x:c r="I160" s="119" t="str">
        <x:v>P0</x:v>
      </x:c>
      <x:c r="J160" s="119" t="str">
        <x:v>Média</x:v>
      </x:c>
      <x:c r="K160" s="1"/>
    </x:row>
    <x:row r="161" ht="24" hidden="0" customHeight="1">
      <x:c r="A161" s="119" t="str">
        <x:v>RN-M18-02</x:v>
      </x:c>
      <x:c r="B161" s="119" t="str">
        <x:v>Regra de negócio</x:v>
      </x:c>
      <x:c r="C161" s="119" t="str">
        <x:v>SUPLEMENTAÇÃO NUTRICIONAL</x:v>
      </x:c>
      <x:c r="D161" s="119" t="str">
        <x:v>Produto e prescrição são entidades distintas; alterar o catálogo não modifica prescrições históricas.</x:v>
      </x:c>
      <x:c r="E161" s="119" t="str">
        <x:v>Parcial</x:v>
      </x:c>
      <x:c r="F161" s="120" t="n">
        <x:f>IF(E161="Implementado",1,IF(E161="Parcial",0.5,0))</x:f>
        <x:v>0.5</x:v>
      </x:c>
      <x:c r="G161" s="119" t="str">
        <x:v>src/nutri_app/ui/pages/supplements_page.py; src/nutri_app/services/supplement.py; tests/test_supplements.py</x:v>
      </x:c>
      <x:c r="H161" s="119" t="str">
        <x:v>Faltam prescrição por paciente, horários/duração, adesão/intercorrências, integração clínica e regras versionadas de interação/limites.</x:v>
      </x:c>
      <x:c r="I161" s="119" t="str">
        <x:v>P0</x:v>
      </x:c>
      <x:c r="J161" s="119" t="str">
        <x:v>Média</x:v>
      </x:c>
      <x:c r="K161" s="1"/>
    </x:row>
    <x:row r="162" ht="24" hidden="0" customHeight="1">
      <x:c r="A162" s="119" t="str">
        <x:v>RF-M19-01</x:v>
      </x:c>
      <x:c r="B162" s="119" t="str">
        <x:v>Funcional</x:v>
      </x:c>
      <x:c r="C162" s="119" t="str">
        <x:v>TERAPIA NUTRICIONAL ENTERAL (TNE)</x:v>
      </x:c>
      <x:c r="D162" s="119" t="str">
        <x:v>Via de acesso, posicionamento, método contínuo/intermitente/bolus, bomba, horários e pausas.</x:v>
      </x:c>
      <x:c r="E162" s="119" t="str">
        <x:v>Parcial</x:v>
      </x:c>
      <x:c r="F162" s="120" t="n">
        <x:f>IF(E162="Implementado",1,IF(E162="Parcial",0.5,0))</x:f>
        <x:v>0.5</x:v>
      </x:c>
      <x:c r="G162" s="119" t="str">
        <x:v>src/nutri_app/services/advanced_clinical.py; src/nutri_app/ui/pages/advanced_module_page.py</x:v>
      </x:c>
      <x:c r="H162" s="119" t="str">
        <x:v>Faltam prescrição enteral completa, vias/métodos, evolução administrada, tolerância, intercorrências, alertas e assinatura.</x:v>
      </x:c>
      <x:c r="I162" s="119" t="str">
        <x:v>P0</x:v>
      </x:c>
      <x:c r="J162" s="119" t="str">
        <x:v>Média</x:v>
      </x:c>
      <x:c r="K162" s="1"/>
    </x:row>
    <x:row r="163" ht="24" hidden="0" customHeight="1">
      <x:c r="A163" s="119" t="str">
        <x:v>RF-M19-02</x:v>
      </x:c>
      <x:c r="B163" s="119" t="str">
        <x:v>Funcional</x:v>
      </x:c>
      <x:c r="C163" s="119" t="str">
        <x:v>TERAPIA NUTRICIONAL ENTERAL (TNE)</x:v>
      </x:c>
      <x:c r="D163" s="119" t="str">
        <x:v>Catálogo de fórmulas com fabricante, apresentação, densidade, osmolaridade, composição e água livre.</x:v>
      </x:c>
      <x:c r="E163" s="119" t="str">
        <x:v>Parcial</x:v>
      </x:c>
      <x:c r="F163" s="120" t="n">
        <x:f>IF(E163="Implementado",1,IF(E163="Parcial",0.5,0))</x:f>
        <x:v>0.5</x:v>
      </x:c>
      <x:c r="G163" s="119" t="str">
        <x:v>src/nutri_app/services/advanced_clinical.py; src/nutri_app/ui/pages/advanced_module_page.py</x:v>
      </x:c>
      <x:c r="H163" s="119" t="str">
        <x:v>Faltam prescrição enteral completa, vias/métodos, evolução administrada, tolerância, intercorrências, alertas e assinatura.</x:v>
      </x:c>
      <x:c r="I163" s="119" t="str">
        <x:v>P0</x:v>
      </x:c>
      <x:c r="J163" s="119" t="str">
        <x:v>Média</x:v>
      </x:c>
      <x:c r="K163" s="1"/>
    </x:row>
    <x:row r="164" ht="24" hidden="0" customHeight="1">
      <x:c r="A164" s="119" t="str">
        <x:v>RF-M19-03</x:v>
      </x:c>
      <x:c r="B164" s="119" t="str">
        <x:v>Funcional</x:v>
      </x:c>
      <x:c r="C164" s="119" t="str">
        <x:v>TERAPIA NUTRICIONAL ENTERAL (TNE)</x:v>
      </x:c>
      <x:c r="D164" s="119" t="str">
        <x:v>Volume, horas de infusão, vazão em mL/h, energia, proteína, água livre e hidratação adicional.</x:v>
      </x:c>
      <x:c r="E164" s="119" t="str">
        <x:v>Implementado</x:v>
      </x:c>
      <x:c r="F164" s="120" t="n">
        <x:f>IF(E164="Implementado",1,IF(E164="Parcial",0.5,0))</x:f>
        <x:v>1</x:v>
      </x:c>
      <x:c r="G164" s="119" t="str">
        <x:v>src/nutri_app/services/advanced_clinical.py; src/nutri_app/ui/pages/advanced_module_page.py</x:v>
      </x:c>
      <x:c r="H164" s="119" t="str">
        <x:v>Cobertura identificada no escopo atual; ainda requer validação de uso real quando aplicável.</x:v>
      </x:c>
      <x:c r="I164" s="119" t="str">
        <x:v>—</x:v>
      </x:c>
      <x:c r="J164" s="119" t="str">
        <x:v>Alta</x:v>
      </x:c>
      <x:c r="K164" s="1"/>
    </x:row>
    <x:row r="165" ht="36" hidden="0" customHeight="1">
      <x:c r="A165" s="119" t="str">
        <x:v>RF-M19-04</x:v>
      </x:c>
      <x:c r="B165" s="119" t="str">
        <x:v>Funcional</x:v>
      </x:c>
      <x:c r="C165" s="119" t="str">
        <x:v>TERAPIA NUTRICIONAL ENTERAL (TNE)</x:v>
      </x:c>
      <x:c r="D165" s="119" t="str">
        <x:v>Evolução da prescrição, progressão, meta, volume prescrito versus administrado e adequação percentual.</x:v>
      </x:c>
      <x:c r="E165" s="119" t="str">
        <x:v>Não identificado</x:v>
      </x:c>
      <x:c r="F165" s="120" t="n">
        <x:f>IF(E165="Implementado",1,IF(E165="Parcial",0.5,0))</x:f>
        <x:v>0</x:v>
      </x:c>
      <x:c r="G165" s="119" t="str">
        <x:v>src/nutri_app/services/advanced_clinical.py; src/nutri_app/ui/pages/advanced_module_page.py</x:v>
      </x:c>
      <x:c r="H165" s="119" t="str">
        <x:v>Não foi identificada evidência suficiente para este requisito. Faltam prescrição enteral completa, vias/métodos, evolução administrada, tolerância, intercorrências, alertas e assinatura.</x:v>
      </x:c>
      <x:c r="I165" s="119" t="str">
        <x:v>P0</x:v>
      </x:c>
      <x:c r="J165" s="119" t="str">
        <x:v>Média</x:v>
      </x:c>
      <x:c r="K165" s="1"/>
    </x:row>
    <x:row r="166" ht="36" hidden="0" customHeight="1">
      <x:c r="A166" s="119" t="str">
        <x:v>RF-M19-05</x:v>
      </x:c>
      <x:c r="B166" s="119" t="str">
        <x:v>Funcional</x:v>
      </x:c>
      <x:c r="C166" s="119" t="str">
        <x:v>TERAPIA NUTRICIONAL ENTERAL (TNE)</x:v>
      </x:c>
      <x:c r="D166" s="119" t="str">
        <x:v>Monitoramento de tolerância, resíduo quando aplicável, evacuações, náusea, vômito, distensão e interrupções.</x:v>
      </x:c>
      <x:c r="E166" s="119" t="str">
        <x:v>Não identificado</x:v>
      </x:c>
      <x:c r="F166" s="120" t="n">
        <x:f>IF(E166="Implementado",1,IF(E166="Parcial",0.5,0))</x:f>
        <x:v>0</x:v>
      </x:c>
      <x:c r="G166" s="119" t="str">
        <x:v>src/nutri_app/services/advanced_clinical.py; src/nutri_app/ui/pages/advanced_module_page.py</x:v>
      </x:c>
      <x:c r="H166" s="119" t="str">
        <x:v>Não foi identificada evidência suficiente para este requisito. Faltam prescrição enteral completa, vias/métodos, evolução administrada, tolerância, intercorrências, alertas e assinatura.</x:v>
      </x:c>
      <x:c r="I166" s="119" t="str">
        <x:v>P0</x:v>
      </x:c>
      <x:c r="J166" s="119" t="str">
        <x:v>Média</x:v>
      </x:c>
      <x:c r="K166" s="1"/>
    </x:row>
    <x:row r="167" ht="36" hidden="0" customHeight="1">
      <x:c r="A167" s="119" t="str">
        <x:v>RF-M19-06</x:v>
      </x:c>
      <x:c r="B167" s="119" t="str">
        <x:v>Funcional</x:v>
      </x:c>
      <x:c r="C167" s="119" t="str">
        <x:v>TERAPIA NUTRICIONAL ENTERAL (TNE)</x:v>
      </x:c>
      <x:c r="D167" s="119" t="str">
        <x:v>Alertas configuráveis, registro de intercorrências, conduta, equipe comunicada e assinatura.</x:v>
      </x:c>
      <x:c r="E167" s="119" t="str">
        <x:v>Não identificado</x:v>
      </x:c>
      <x:c r="F167" s="120" t="n">
        <x:f>IF(E167="Implementado",1,IF(E167="Parcial",0.5,0))</x:f>
        <x:v>0</x:v>
      </x:c>
      <x:c r="G167" s="119" t="str">
        <x:v>src/nutri_app/services/advanced_clinical.py; src/nutri_app/ui/pages/advanced_module_page.py</x:v>
      </x:c>
      <x:c r="H167" s="119" t="str">
        <x:v>Não foi identificada evidência suficiente para este requisito. Faltam prescrição enteral completa, vias/métodos, evolução administrada, tolerância, intercorrências, alertas e assinatura.</x:v>
      </x:c>
      <x:c r="I167" s="119" t="str">
        <x:v>P0</x:v>
      </x:c>
      <x:c r="J167" s="119" t="str">
        <x:v>Média</x:v>
      </x:c>
      <x:c r="K167" s="1"/>
    </x:row>
    <x:row r="168" ht="24" hidden="0" customHeight="1">
      <x:c r="A168" s="119" t="str">
        <x:v>RN-M19-01</x:v>
      </x:c>
      <x:c r="B168" s="119" t="str">
        <x:v>Regra de negócio</x:v>
      </x:c>
      <x:c r="C168" s="119" t="str">
        <x:v>TERAPIA NUTRICIONAL ENTERAL (TNE)</x:v>
      </x:c>
      <x:c r="D168" s="119" t="str">
        <x:v>Fórmulas e limites clínicos devem ser validados e versionados; o profissional confirma a prescrição.</x:v>
      </x:c>
      <x:c r="E168" s="119" t="str">
        <x:v>Parcial</x:v>
      </x:c>
      <x:c r="F168" s="120" t="n">
        <x:f>IF(E168="Implementado",1,IF(E168="Parcial",0.5,0))</x:f>
        <x:v>0.5</x:v>
      </x:c>
      <x:c r="G168" s="119" t="str">
        <x:v>src/nutri_app/services/advanced_clinical.py; src/nutri_app/ui/pages/advanced_module_page.py</x:v>
      </x:c>
      <x:c r="H168" s="119" t="str">
        <x:v>Faltam prescrição enteral completa, vias/métodos, evolução administrada, tolerância, intercorrências, alertas e assinatura.</x:v>
      </x:c>
      <x:c r="I168" s="119" t="str">
        <x:v>P0</x:v>
      </x:c>
      <x:c r="J168" s="119" t="str">
        <x:v>Média</x:v>
      </x:c>
      <x:c r="K168" s="1"/>
    </x:row>
    <x:row r="169" ht="36" hidden="0" customHeight="1">
      <x:c r="A169" s="119" t="str">
        <x:v>RN-M19-02</x:v>
      </x:c>
      <x:c r="B169" s="119" t="str">
        <x:v>Regra de negócio</x:v>
      </x:c>
      <x:c r="C169" s="119" t="str">
        <x:v>TERAPIA NUTRICIONAL ENTERAL (TNE)</x:v>
      </x:c>
      <x:c r="D169" s="119" t="str">
        <x:v>Aporte efetivo alimenta comparativos, necessidades, evolução e indicadores sem recálculo divergente.</x:v>
      </x:c>
      <x:c r="E169" s="119" t="str">
        <x:v>Não identificado</x:v>
      </x:c>
      <x:c r="F169" s="120" t="n">
        <x:f>IF(E169="Implementado",1,IF(E169="Parcial",0.5,0))</x:f>
        <x:v>0</x:v>
      </x:c>
      <x:c r="G169" s="119" t="str">
        <x:v>src/nutri_app/services/advanced_clinical.py; src/nutri_app/ui/pages/advanced_module_page.py</x:v>
      </x:c>
      <x:c r="H169" s="119" t="str">
        <x:v>Não foi identificada evidência suficiente para este requisito. Faltam prescrição enteral completa, vias/métodos, evolução administrada, tolerância, intercorrências, alertas e assinatura.</x:v>
      </x:c>
      <x:c r="I169" s="119" t="str">
        <x:v>P0</x:v>
      </x:c>
      <x:c r="J169" s="119" t="str">
        <x:v>Média</x:v>
      </x:c>
      <x:c r="K169" s="1"/>
    </x:row>
    <x:row r="170" ht="24" hidden="0" customHeight="1">
      <x:c r="A170" s="119" t="str">
        <x:v>RF-M20-01</x:v>
      </x:c>
      <x:c r="B170" s="119" t="str">
        <x:v>Funcional</x:v>
      </x:c>
      <x:c r="C170" s="119" t="str">
        <x:v>TERAPIA NUTRICIONAL PARENTERAL (TNP)</x:v>
      </x:c>
      <x:c r="D170" s="119" t="str">
        <x:v>Via, tipo de solução, bolsa industrializada/manipulada, volume, duração e velocidade de infusão.</x:v>
      </x:c>
      <x:c r="E170" s="119" t="str">
        <x:v>Parcial</x:v>
      </x:c>
      <x:c r="F170" s="120" t="n">
        <x:f>IF(E170="Implementado",1,IF(E170="Parcial",0.5,0))</x:f>
        <x:v>0.5</x:v>
      </x:c>
      <x:c r="G170" s="119" t="str">
        <x:v>src/nutri_app/services/advanced_clinical.py; database/migrations/0019_advanced_clinical_modules.sql</x:v>
      </x:c>
      <x:c r="H170" s="119" t="str">
        <x:v>Falta fluxo específico de nutrição parenteral, composição, taxa de glicose, osmolaridade, incompatibilidades, monitoramento e dupla checagem.</x:v>
      </x:c>
      <x:c r="I170" s="119" t="str">
        <x:v>P0</x:v>
      </x:c>
      <x:c r="J170" s="119" t="str">
        <x:v>Média</x:v>
      </x:c>
      <x:c r="K170" s="1"/>
    </x:row>
    <x:row r="171" ht="36" hidden="0" customHeight="1">
      <x:c r="A171" s="119" t="str">
        <x:v>RF-M20-02</x:v>
      </x:c>
      <x:c r="B171" s="119" t="str">
        <x:v>Funcional</x:v>
      </x:c>
      <x:c r="C171" s="119" t="str">
        <x:v>TERAPIA NUTRICIONAL PARENTERAL (TNP)</x:v>
      </x:c>
      <x:c r="D171" s="119" t="str">
        <x:v>Aminoácidos, dextrose, lipídios, eletrólitos, vitaminas, oligoelementos e água.</x:v>
      </x:c>
      <x:c r="E171" s="119" t="str">
        <x:v>Não identificado</x:v>
      </x:c>
      <x:c r="F171" s="120" t="n">
        <x:f>IF(E171="Implementado",1,IF(E171="Parcial",0.5,0))</x:f>
        <x:v>0</x:v>
      </x:c>
      <x:c r="G171" s="119" t="str">
        <x:v>src/nutri_app/services/advanced_clinical.py; database/migrations/0019_advanced_clinical_modules.sql</x:v>
      </x:c>
      <x:c r="H171" s="119" t="str">
        <x:v>Não foi identificada evidência suficiente para este requisito. Falta fluxo específico de nutrição parenteral, composição, taxa de glicose, osmolaridade, incompatibilidades, monitoramento e dupla checagem.</x:v>
      </x:c>
      <x:c r="I171" s="119" t="str">
        <x:v>P0</x:v>
      </x:c>
      <x:c r="J171" s="119" t="str">
        <x:v>Média</x:v>
      </x:c>
      <x:c r="K171" s="1"/>
    </x:row>
    <x:row r="172" ht="24" hidden="0" customHeight="1">
      <x:c r="A172" s="119" t="str">
        <x:v>RF-M20-03</x:v>
      </x:c>
      <x:c r="B172" s="119" t="str">
        <x:v>Funcional</x:v>
      </x:c>
      <x:c r="C172" s="119" t="str">
        <x:v>TERAPIA NUTRICIONAL PARENTERAL (TNP)</x:v>
      </x:c>
      <x:c r="D172" s="119" t="str">
        <x:v>Cálculo de kcal totais, proteína, taxa de infusão de glicose, distribuição energética e osmolaridade.</x:v>
      </x:c>
      <x:c r="E172" s="119" t="str">
        <x:v>Parcial</x:v>
      </x:c>
      <x:c r="F172" s="120" t="n">
        <x:f>IF(E172="Implementado",1,IF(E172="Parcial",0.5,0))</x:f>
        <x:v>0.5</x:v>
      </x:c>
      <x:c r="G172" s="119" t="str">
        <x:v>src/nutri_app/services/advanced_clinical.py; database/migrations/0019_advanced_clinical_modules.sql</x:v>
      </x:c>
      <x:c r="H172" s="119" t="str">
        <x:v>Falta fluxo específico de nutrição parenteral, composição, taxa de glicose, osmolaridade, incompatibilidades, monitoramento e dupla checagem.</x:v>
      </x:c>
      <x:c r="I172" s="119" t="str">
        <x:v>P0</x:v>
      </x:c>
      <x:c r="J172" s="119" t="str">
        <x:v>Média</x:v>
      </x:c>
      <x:c r="K172" s="1"/>
    </x:row>
    <x:row r="173" ht="36" hidden="0" customHeight="1">
      <x:c r="A173" s="119" t="str">
        <x:v>RF-M20-04</x:v>
      </x:c>
      <x:c r="B173" s="119" t="str">
        <x:v>Funcional</x:v>
      </x:c>
      <x:c r="C173" s="119" t="str">
        <x:v>TERAPIA NUTRICIONAL PARENTERAL (TNP)</x:v>
      </x:c>
      <x:c r="D173" s="119" t="str">
        <x:v>Travas e alertas configuráveis para limites, incompatibilidades e via periférica.</x:v>
      </x:c>
      <x:c r="E173" s="119" t="str">
        <x:v>Não identificado</x:v>
      </x:c>
      <x:c r="F173" s="120" t="n">
        <x:f>IF(E173="Implementado",1,IF(E173="Parcial",0.5,0))</x:f>
        <x:v>0</x:v>
      </x:c>
      <x:c r="G173" s="119" t="str">
        <x:v>src/nutri_app/services/advanced_clinical.py; database/migrations/0019_advanced_clinical_modules.sql</x:v>
      </x:c>
      <x:c r="H173" s="119" t="str">
        <x:v>Não foi identificada evidência suficiente para este requisito. Falta fluxo específico de nutrição parenteral, composição, taxa de glicose, osmolaridade, incompatibilidades, monitoramento e dupla checagem.</x:v>
      </x:c>
      <x:c r="I173" s="119" t="str">
        <x:v>P0</x:v>
      </x:c>
      <x:c r="J173" s="119" t="str">
        <x:v>Média</x:v>
      </x:c>
      <x:c r="K173" s="1"/>
    </x:row>
    <x:row r="174" ht="36" hidden="0" customHeight="1">
      <x:c r="A174" s="119" t="str">
        <x:v>RF-M20-05</x:v>
      </x:c>
      <x:c r="B174" s="119" t="str">
        <x:v>Funcional</x:v>
      </x:c>
      <x:c r="C174" s="119" t="str">
        <x:v>TERAPIA NUTRICIONAL PARENTERAL (TNP)</x:v>
      </x:c>
      <x:c r="D174" s="119" t="str">
        <x:v>Monitoramento de volume administrado, glicemia, eletrólitos, função hepática, triglicerídeos e intercorrências.</x:v>
      </x:c>
      <x:c r="E174" s="119" t="str">
        <x:v>Não identificado</x:v>
      </x:c>
      <x:c r="F174" s="120" t="n">
        <x:f>IF(E174="Implementado",1,IF(E174="Parcial",0.5,0))</x:f>
        <x:v>0</x:v>
      </x:c>
      <x:c r="G174" s="119" t="str">
        <x:v>src/nutri_app/services/advanced_clinical.py; database/migrations/0019_advanced_clinical_modules.sql</x:v>
      </x:c>
      <x:c r="H174" s="119" t="str">
        <x:v>Não foi identificada evidência suficiente para este requisito. Falta fluxo específico de nutrição parenteral, composição, taxa de glicose, osmolaridade, incompatibilidades, monitoramento e dupla checagem.</x:v>
      </x:c>
      <x:c r="I174" s="119" t="str">
        <x:v>P0</x:v>
      </x:c>
      <x:c r="J174" s="119" t="str">
        <x:v>Média</x:v>
      </x:c>
      <x:c r="K174" s="1"/>
    </x:row>
    <x:row r="175" ht="36" hidden="0" customHeight="1">
      <x:c r="A175" s="119" t="str">
        <x:v>RF-M20-06</x:v>
      </x:c>
      <x:c r="B175" s="119" t="str">
        <x:v>Funcional</x:v>
      </x:c>
      <x:c r="C175" s="119" t="str">
        <x:v>TERAPIA NUTRICIONAL PARENTERAL (TNP)</x:v>
      </x:c>
      <x:c r="D175" s="119" t="str">
        <x:v>Histórico de progressão, pausa, suspensão, justificativa, validação e assinatura.</x:v>
      </x:c>
      <x:c r="E175" s="119" t="str">
        <x:v>Não identificado</x:v>
      </x:c>
      <x:c r="F175" s="120" t="n">
        <x:f>IF(E175="Implementado",1,IF(E175="Parcial",0.5,0))</x:f>
        <x:v>0</x:v>
      </x:c>
      <x:c r="G175" s="119" t="str">
        <x:v>src/nutri_app/services/advanced_clinical.py; database/migrations/0019_advanced_clinical_modules.sql</x:v>
      </x:c>
      <x:c r="H175" s="119" t="str">
        <x:v>Não foi identificada evidência suficiente para este requisito. Falta fluxo específico de nutrição parenteral, composição, taxa de glicose, osmolaridade, incompatibilidades, monitoramento e dupla checagem.</x:v>
      </x:c>
      <x:c r="I175" s="119" t="str">
        <x:v>P0</x:v>
      </x:c>
      <x:c r="J175" s="119" t="str">
        <x:v>Média</x:v>
      </x:c>
      <x:c r="K175" s="1"/>
    </x:row>
    <x:row r="176" ht="24" hidden="0" customHeight="1">
      <x:c r="A176" s="119" t="str">
        <x:v>RN-M20-01</x:v>
      </x:c>
      <x:c r="B176" s="119" t="str">
        <x:v>Regra de negócio</x:v>
      </x:c>
      <x:c r="C176" s="119" t="str">
        <x:v>TERAPIA NUTRICIONAL PARENTERAL (TNP)</x:v>
      </x:c>
      <x:c r="D176" s="119" t="str">
        <x:v>Cálculos críticos devem exibir memória, fonte e regra; bloqueios clínicos só podem usar protocolo aprovado.</x:v>
      </x:c>
      <x:c r="E176" s="119" t="str">
        <x:v>Parcial</x:v>
      </x:c>
      <x:c r="F176" s="120" t="n">
        <x:f>IF(E176="Implementado",1,IF(E176="Parcial",0.5,0))</x:f>
        <x:v>0.5</x:v>
      </x:c>
      <x:c r="G176" s="119" t="str">
        <x:v>src/nutri_app/services/advanced_clinical.py; database/migrations/0019_advanced_clinical_modules.sql</x:v>
      </x:c>
      <x:c r="H176" s="119" t="str">
        <x:v>Falta fluxo específico de nutrição parenteral, composição, taxa de glicose, osmolaridade, incompatibilidades, monitoramento e dupla checagem.</x:v>
      </x:c>
      <x:c r="I176" s="119" t="str">
        <x:v>P0</x:v>
      </x:c>
      <x:c r="J176" s="119" t="str">
        <x:v>Média</x:v>
      </x:c>
      <x:c r="K176" s="1"/>
    </x:row>
    <x:row r="177" ht="24" hidden="0" customHeight="1">
      <x:c r="A177" s="119" t="str">
        <x:v>RN-M20-02</x:v>
      </x:c>
      <x:c r="B177" s="119" t="str">
        <x:v>Regra de negócio</x:v>
      </x:c>
      <x:c r="C177" s="119" t="str">
        <x:v>TERAPIA NUTRICIONAL PARENTERAL (TNP)</x:v>
      </x:c>
      <x:c r="D177" s="119" t="str">
        <x:v>Prescrição final depende de revisão profissional e, quando exigido, dupla checagem institucional.</x:v>
      </x:c>
      <x:c r="E177" s="119" t="str">
        <x:v>Parcial</x:v>
      </x:c>
      <x:c r="F177" s="120" t="n">
        <x:f>IF(E177="Implementado",1,IF(E177="Parcial",0.5,0))</x:f>
        <x:v>0.5</x:v>
      </x:c>
      <x:c r="G177" s="119" t="str">
        <x:v>src/nutri_app/services/advanced_clinical.py; database/migrations/0019_advanced_clinical_modules.sql</x:v>
      </x:c>
      <x:c r="H177" s="119" t="str">
        <x:v>Falta fluxo específico de nutrição parenteral, composição, taxa de glicose, osmolaridade, incompatibilidades, monitoramento e dupla checagem.</x:v>
      </x:c>
      <x:c r="I177" s="119" t="str">
        <x:v>P0</x:v>
      </x:c>
      <x:c r="J177" s="119" t="str">
        <x:v>Média</x:v>
      </x:c>
      <x:c r="K177" s="1"/>
    </x:row>
    <x:row r="178" ht="24" hidden="0" customHeight="1">
      <x:c r="A178" s="119" t="str">
        <x:v>RF-M21-01</x:v>
      </x:c>
      <x:c r="B178" s="119" t="str">
        <x:v>Funcional</x:v>
      </x:c>
      <x:c r="C178" s="119" t="str">
        <x:v>AVALIAÇÃO DE RISCO NUTRICIONAL</x:v>
      </x:c>
      <x:c r="D178" s="119" t="str">
        <x:v>Protocolos NRS-2002, MUST, MNA/MAN, ASG/SGA, STRONGkids, STAMP e outros configurados.</x:v>
      </x:c>
      <x:c r="E178" s="119" t="str">
        <x:v>Parcial</x:v>
      </x:c>
      <x:c r="F178" s="120" t="n">
        <x:f>IF(E178="Implementado",1,IF(E178="Parcial",0.5,0))</x:f>
        <x:v>0.5</x:v>
      </x:c>
      <x:c r="G178" s="119" t="str">
        <x:v>src/nutri_app/ui/pages/screening_page.py; src/nutri_app/services/screening.py; src/nutri_app/services/clinical_validation.py; tests/test_screening.py</x:v>
      </x:c>
      <x:c r="H178" s="119" t="str">
        <x:v>Faltam STAMP, seleção automática/justificada por população, prazos/reavaliação completos, assinatura e protocolo publicado imutável.</x:v>
      </x:c>
      <x:c r="I178" s="119" t="str">
        <x:v>P0</x:v>
      </x:c>
      <x:c r="J178" s="119" t="str">
        <x:v>Média</x:v>
      </x:c>
      <x:c r="K178" s="1"/>
    </x:row>
    <x:row r="179" ht="24" hidden="0" customHeight="1">
      <x:c r="A179" s="119" t="str">
        <x:v>RF-M21-02</x:v>
      </x:c>
      <x:c r="B179" s="119" t="str">
        <x:v>Funcional</x:v>
      </x:c>
      <x:c r="C179" s="119" t="str">
        <x:v>AVALIAÇÃO DE RISCO NUTRICIONAL</x:v>
      </x:c>
      <x:c r="D179" s="119" t="str">
        <x:v>Questionário por protocolo com respostas, pontuação, classificação e critérios apresentados ao usuário.</x:v>
      </x:c>
      <x:c r="E179" s="119" t="str">
        <x:v>Implementado</x:v>
      </x:c>
      <x:c r="F179" s="120" t="n">
        <x:f>IF(E179="Implementado",1,IF(E179="Parcial",0.5,0))</x:f>
        <x:v>1</x:v>
      </x:c>
      <x:c r="G179" s="119" t="str">
        <x:v>src/nutri_app/ui/pages/screening_page.py; src/nutri_app/services/screening.py; src/nutri_app/services/clinical_validation.py; tests/test_screening.py</x:v>
      </x:c>
      <x:c r="H179" s="119" t="str">
        <x:v>Cobertura identificada no escopo atual; ainda requer validação de uso real quando aplicável.</x:v>
      </x:c>
      <x:c r="I179" s="119" t="str">
        <x:v>—</x:v>
      </x:c>
      <x:c r="J179" s="119" t="str">
        <x:v>Alta</x:v>
      </x:c>
      <x:c r="K179" s="1"/>
    </x:row>
    <x:row r="180" ht="24" hidden="0" customHeight="1">
      <x:c r="A180" s="119" t="str">
        <x:v>RF-M21-03</x:v>
      </x:c>
      <x:c r="B180" s="119" t="str">
        <x:v>Funcional</x:v>
      </x:c>
      <x:c r="C180" s="119" t="str">
        <x:v>AVALIAÇÃO DE RISCO NUTRICIONAL</x:v>
      </x:c>
      <x:c r="D180" s="119" t="str">
        <x:v>Seleção por idade, contexto e população, sem impedir escolha justificada do profissional.</x:v>
      </x:c>
      <x:c r="E180" s="119" t="str">
        <x:v>Parcial</x:v>
      </x:c>
      <x:c r="F180" s="120" t="n">
        <x:f>IF(E180="Implementado",1,IF(E180="Parcial",0.5,0))</x:f>
        <x:v>0.5</x:v>
      </x:c>
      <x:c r="G180" s="119" t="str">
        <x:v>src/nutri_app/ui/pages/screening_page.py; src/nutri_app/services/screening.py; src/nutri_app/services/clinical_validation.py; tests/test_screening.py</x:v>
      </x:c>
      <x:c r="H180" s="119" t="str">
        <x:v>Faltam STAMP, seleção automática/justificada por população, prazos/reavaliação completos, assinatura e protocolo publicado imutável.</x:v>
      </x:c>
      <x:c r="I180" s="119" t="str">
        <x:v>P0</x:v>
      </x:c>
      <x:c r="J180" s="119" t="str">
        <x:v>Média</x:v>
      </x:c>
      <x:c r="K180" s="1"/>
    </x:row>
    <x:row r="181" ht="24" hidden="0" customHeight="1">
      <x:c r="A181" s="119" t="str">
        <x:v>RF-M21-04</x:v>
      </x:c>
      <x:c r="B181" s="119" t="str">
        <x:v>Funcional</x:v>
      </x:c>
      <x:c r="C181" s="119" t="str">
        <x:v>AVALIAÇÃO DE RISCO NUTRICIONAL</x:v>
      </x:c>
      <x:c r="D181" s="119" t="str">
        <x:v>Prazo de triagem, reavaliação e prioridade no dashboard conforme classificação.</x:v>
      </x:c>
      <x:c r="E181" s="119" t="str">
        <x:v>Parcial</x:v>
      </x:c>
      <x:c r="F181" s="120" t="n">
        <x:f>IF(E181="Implementado",1,IF(E181="Parcial",0.5,0))</x:f>
        <x:v>0.5</x:v>
      </x:c>
      <x:c r="G181" s="119" t="str">
        <x:v>src/nutri_app/ui/pages/screening_page.py; src/nutri_app/services/screening.py; src/nutri_app/services/clinical_validation.py; tests/test_screening.py</x:v>
      </x:c>
      <x:c r="H181" s="119" t="str">
        <x:v>Faltam STAMP, seleção automática/justificada por população, prazos/reavaliação completos, assinatura e protocolo publicado imutável.</x:v>
      </x:c>
      <x:c r="I181" s="119" t="str">
        <x:v>P0</x:v>
      </x:c>
      <x:c r="J181" s="119" t="str">
        <x:v>Média</x:v>
      </x:c>
      <x:c r="K181" s="1"/>
    </x:row>
    <x:row r="182" ht="24" hidden="0" customHeight="1">
      <x:c r="A182" s="119" t="str">
        <x:v>RF-M21-05</x:v>
      </x:c>
      <x:c r="B182" s="119" t="str">
        <x:v>Funcional</x:v>
      </x:c>
      <x:c r="C182" s="119" t="str">
        <x:v>AVALIAÇÃO DE RISCO NUTRICIONAL</x:v>
      </x:c>
      <x:c r="D182" s="119" t="str">
        <x:v>Histórico comparativo, responsável, data, versão do protocolo e assinatura.</x:v>
      </x:c>
      <x:c r="E182" s="119" t="str">
        <x:v>Parcial</x:v>
      </x:c>
      <x:c r="F182" s="120" t="n">
        <x:f>IF(E182="Implementado",1,IF(E182="Parcial",0.5,0))</x:f>
        <x:v>0.5</x:v>
      </x:c>
      <x:c r="G182" s="119" t="str">
        <x:v>src/nutri_app/ui/pages/screening_page.py; src/nutri_app/services/screening.py; src/nutri_app/services/clinical_validation.py; tests/test_screening.py</x:v>
      </x:c>
      <x:c r="H182" s="119" t="str">
        <x:v>Faltam STAMP, seleção automática/justificada por população, prazos/reavaliação completos, assinatura e protocolo publicado imutável.</x:v>
      </x:c>
      <x:c r="I182" s="119" t="str">
        <x:v>P0</x:v>
      </x:c>
      <x:c r="J182" s="119" t="str">
        <x:v>Média</x:v>
      </x:c>
      <x:c r="K182" s="1"/>
    </x:row>
    <x:row r="183" ht="24" hidden="0" customHeight="1">
      <x:c r="A183" s="119" t="str">
        <x:v>RN-M21-01</x:v>
      </x:c>
      <x:c r="B183" s="119" t="str">
        <x:v>Regra de negócio</x:v>
      </x:c>
      <x:c r="C183" s="119" t="str">
        <x:v>AVALIAÇÃO DE RISCO NUTRICIONAL</x:v>
      </x:c>
      <x:c r="D183" s="119" t="str">
        <x:v>Pontuação e classificação devem ser reproduzíveis a partir das respostas salvas.</x:v>
      </x:c>
      <x:c r="E183" s="119" t="str">
        <x:v>Implementado</x:v>
      </x:c>
      <x:c r="F183" s="120" t="n">
        <x:f>IF(E183="Implementado",1,IF(E183="Parcial",0.5,0))</x:f>
        <x:v>1</x:v>
      </x:c>
      <x:c r="G183" s="119" t="str">
        <x:v>src/nutri_app/ui/pages/screening_page.py; src/nutri_app/services/screening.py; src/nutri_app/services/clinical_validation.py; tests/test_screening.py</x:v>
      </x:c>
      <x:c r="H183" s="119" t="str">
        <x:v>Cobertura identificada no escopo atual; ainda requer validação de uso real quando aplicável.</x:v>
      </x:c>
      <x:c r="I183" s="119" t="str">
        <x:v>—</x:v>
      </x:c>
      <x:c r="J183" s="119" t="str">
        <x:v>Alta</x:v>
      </x:c>
      <x:c r="K183" s="1"/>
    </x:row>
    <x:row r="184" ht="24" hidden="0" customHeight="1">
      <x:c r="A184" s="119" t="str">
        <x:v>RN-M21-02</x:v>
      </x:c>
      <x:c r="B184" s="119" t="str">
        <x:v>Regra de negócio</x:v>
      </x:c>
      <x:c r="C184" s="119" t="str">
        <x:v>AVALIAÇÃO DE RISCO NUTRICIONAL</x:v>
      </x:c>
      <x:c r="D184" s="119" t="str">
        <x:v>Protocolos só podem ser usados clinicamente após fonte, versão e validação aprovadas.</x:v>
      </x:c>
      <x:c r="E184" s="119" t="str">
        <x:v>Parcial</x:v>
      </x:c>
      <x:c r="F184" s="120" t="n">
        <x:f>IF(E184="Implementado",1,IF(E184="Parcial",0.5,0))</x:f>
        <x:v>0.5</x:v>
      </x:c>
      <x:c r="G184" s="119" t="str">
        <x:v>src/nutri_app/ui/pages/screening_page.py; src/nutri_app/services/screening.py; src/nutri_app/services/clinical_validation.py; tests/test_screening.py</x:v>
      </x:c>
      <x:c r="H184" s="119" t="str">
        <x:v>Faltam STAMP, seleção automática/justificada por população, prazos/reavaliação completos, assinatura e protocolo publicado imutável.</x:v>
      </x:c>
      <x:c r="I184" s="119" t="str">
        <x:v>P0</x:v>
      </x:c>
      <x:c r="J184" s="119" t="str">
        <x:v>Média</x:v>
      </x:c>
      <x:c r="K184" s="1"/>
    </x:row>
    <x:row r="185" ht="24" hidden="0" customHeight="1">
      <x:c r="A185" s="119" t="str">
        <x:v>RF-M22-01</x:v>
      </x:c>
      <x:c r="B185" s="119" t="str">
        <x:v>Funcional</x:v>
      </x:c>
      <x:c r="C185" s="119" t="str">
        <x:v>EVOLUÇÃO NUTRICIONAL</x:v>
      </x:c>
      <x:c r="D185" s="119" t="str">
        <x:v>Modelo SOAPI estruturado e narrativa livre com modelos reutilizáveis.</x:v>
      </x:c>
      <x:c r="E185" s="119" t="str">
        <x:v>Não identificado</x:v>
      </x:c>
      <x:c r="F185" s="120" t="n">
        <x:f>IF(E185="Implementado",1,IF(E185="Parcial",0.5,0))</x:f>
        <x:v>0</x:v>
      </x:c>
      <x:c r="G185" s="119" t="str">
        <x:v>src/nutri_app/services/report.py; src/nutri_app/repositories/dashboard_repository.py; database/schema.sql</x:v>
      </x:c>
      <x:c r="H185" s="119" t="str">
        <x:v>Não foi identificada evidência suficiente para este requisito. Não há evolução SOAPI/narrativa como registro clínico versionado, assinado, com adendo e próxima reavaliação.</x:v>
      </x:c>
      <x:c r="I185" s="119" t="str">
        <x:v>P0</x:v>
      </x:c>
      <x:c r="J185" s="119" t="str">
        <x:v>Média</x:v>
      </x:c>
      <x:c r="K185" s="1"/>
    </x:row>
    <x:row r="186" ht="24" hidden="0" customHeight="1">
      <x:c r="A186" s="119" t="str">
        <x:v>RF-M22-02</x:v>
      </x:c>
      <x:c r="B186" s="119" t="str">
        <x:v>Funcional</x:v>
      </x:c>
      <x:c r="C186" s="119" t="str">
        <x:v>EVOLUÇÃO NUTRICIONAL</x:v>
      </x:c>
      <x:c r="D186" s="119" t="str">
        <x:v>Dados vinculados de ingestão, antropometria, clínica, exames, terapias, adesão e metas.</x:v>
      </x:c>
      <x:c r="E186" s="119" t="str">
        <x:v>Parcial</x:v>
      </x:c>
      <x:c r="F186" s="120" t="n">
        <x:f>IF(E186="Implementado",1,IF(E186="Parcial",0.5,0))</x:f>
        <x:v>0.5</x:v>
      </x:c>
      <x:c r="G186" s="119" t="str">
        <x:v>src/nutri_app/services/report.py; src/nutri_app/repositories/dashboard_repository.py; database/schema.sql</x:v>
      </x:c>
      <x:c r="H186" s="119" t="str">
        <x:v>Não há evolução SOAPI/narrativa como registro clínico versionado, assinado, com adendo e próxima reavaliação.</x:v>
      </x:c>
      <x:c r="I186" s="119" t="str">
        <x:v>P0</x:v>
      </x:c>
      <x:c r="J186" s="119" t="str">
        <x:v>Média</x:v>
      </x:c>
      <x:c r="K186" s="1"/>
    </x:row>
    <x:row r="187" ht="24" hidden="0" customHeight="1">
      <x:c r="A187" s="119" t="str">
        <x:v>RF-M22-03</x:v>
      </x:c>
      <x:c r="B187" s="119" t="str">
        <x:v>Funcional</x:v>
      </x:c>
      <x:c r="C187" s="119" t="str">
        <x:v>EVOLUÇÃO NUTRICIONAL</x:v>
      </x:c>
      <x:c r="D187" s="119" t="str">
        <x:v>Registro de intercorrências, condutas, orientações, comunicação à equipe e data da próxima reavaliação.</x:v>
      </x:c>
      <x:c r="E187" s="119" t="str">
        <x:v>Não identificado</x:v>
      </x:c>
      <x:c r="F187" s="120" t="n">
        <x:f>IF(E187="Implementado",1,IF(E187="Parcial",0.5,0))</x:f>
        <x:v>0</x:v>
      </x:c>
      <x:c r="G187" s="119" t="str">
        <x:v>src/nutri_app/services/report.py; src/nutri_app/repositories/dashboard_repository.py; database/schema.sql</x:v>
      </x:c>
      <x:c r="H187" s="119" t="str">
        <x:v>Não foi identificada evidência suficiente para este requisito. Não há evolução SOAPI/narrativa como registro clínico versionado, assinado, com adendo e próxima reavaliação.</x:v>
      </x:c>
      <x:c r="I187" s="119" t="str">
        <x:v>P0</x:v>
      </x:c>
      <x:c r="J187" s="119" t="str">
        <x:v>Média</x:v>
      </x:c>
      <x:c r="K187" s="1"/>
    </x:row>
    <x:row r="188" ht="24" hidden="0" customHeight="1">
      <x:c r="A188" s="119" t="str">
        <x:v>RF-M22-04</x:v>
      </x:c>
      <x:c r="B188" s="119" t="str">
        <x:v>Funcional</x:v>
      </x:c>
      <x:c r="C188" s="119" t="str">
        <x:v>EVOLUÇÃO NUTRICIONAL</x:v>
      </x:c>
      <x:c r="D188" s="119" t="str">
        <x:v>Comparação com evolução anterior e resumo automático editável sem alterar dados de origem.</x:v>
      </x:c>
      <x:c r="E188" s="119" t="str">
        <x:v>Parcial</x:v>
      </x:c>
      <x:c r="F188" s="120" t="n">
        <x:f>IF(E188="Implementado",1,IF(E188="Parcial",0.5,0))</x:f>
        <x:v>0.5</x:v>
      </x:c>
      <x:c r="G188" s="119" t="str">
        <x:v>src/nutri_app/services/report.py; src/nutri_app/repositories/dashboard_repository.py; database/schema.sql</x:v>
      </x:c>
      <x:c r="H188" s="119" t="str">
        <x:v>Não há evolução SOAPI/narrativa como registro clínico versionado, assinado, com adendo e próxima reavaliação.</x:v>
      </x:c>
      <x:c r="I188" s="119" t="str">
        <x:v>P0</x:v>
      </x:c>
      <x:c r="J188" s="119" t="str">
        <x:v>Média</x:v>
      </x:c>
      <x:c r="K188" s="1"/>
    </x:row>
    <x:row r="189" ht="24" hidden="0" customHeight="1">
      <x:c r="A189" s="119" t="str">
        <x:v>RF-M22-05</x:v>
      </x:c>
      <x:c r="B189" s="119" t="str">
        <x:v>Funcional</x:v>
      </x:c>
      <x:c r="C189" s="119" t="str">
        <x:v>EVOLUÇÃO NUTRICIONAL</x:v>
      </x:c>
      <x:c r="D189" s="119" t="str">
        <x:v>Rascunho, assinatura, adendo, controle de versão e impressão/PDF.</x:v>
      </x:c>
      <x:c r="E189" s="119" t="str">
        <x:v>Parcial</x:v>
      </x:c>
      <x:c r="F189" s="120" t="n">
        <x:f>IF(E189="Implementado",1,IF(E189="Parcial",0.5,0))</x:f>
        <x:v>0.5</x:v>
      </x:c>
      <x:c r="G189" s="119" t="str">
        <x:v>src/nutri_app/services/report.py; src/nutri_app/repositories/dashboard_repository.py; database/schema.sql</x:v>
      </x:c>
      <x:c r="H189" s="119" t="str">
        <x:v>Não há evolução SOAPI/narrativa como registro clínico versionado, assinado, com adendo e próxima reavaliação.</x:v>
      </x:c>
      <x:c r="I189" s="119" t="str">
        <x:v>P0</x:v>
      </x:c>
      <x:c r="J189" s="119" t="str">
        <x:v>Média</x:v>
      </x:c>
      <x:c r="K189" s="1"/>
    </x:row>
    <x:row r="190" ht="24" hidden="0" customHeight="1">
      <x:c r="A190" s="119" t="str">
        <x:v>RN-M22-01</x:v>
      </x:c>
      <x:c r="B190" s="119" t="str">
        <x:v>Regra de negócio</x:v>
      </x:c>
      <x:c r="C190" s="119" t="str">
        <x:v>EVOLUÇÃO NUTRICIONAL</x:v>
      </x:c>
      <x:c r="D190" s="119" t="str">
        <x:v>Evolução assinada não pode ser sobrescrita; correções devem ocorrer por adendo auditado.</x:v>
      </x:c>
      <x:c r="E190" s="119" t="str">
        <x:v>Não identificado</x:v>
      </x:c>
      <x:c r="F190" s="120" t="n">
        <x:f>IF(E190="Implementado",1,IF(E190="Parcial",0.5,0))</x:f>
        <x:v>0</x:v>
      </x:c>
      <x:c r="G190" s="119" t="str">
        <x:v>src/nutri_app/services/report.py; src/nutri_app/repositories/dashboard_repository.py; database/schema.sql</x:v>
      </x:c>
      <x:c r="H190" s="119" t="str">
        <x:v>Não foi identificada evidência suficiente para este requisito. Não há evolução SOAPI/narrativa como registro clínico versionado, assinado, com adendo e próxima reavaliação.</x:v>
      </x:c>
      <x:c r="I190" s="119" t="str">
        <x:v>P0</x:v>
      </x:c>
      <x:c r="J190" s="119" t="str">
        <x:v>Média</x:v>
      </x:c>
      <x:c r="K190" s="1"/>
    </x:row>
    <x:row r="191" ht="24" hidden="0" customHeight="1">
      <x:c r="A191" s="119" t="str">
        <x:v>RN-M22-02</x:v>
      </x:c>
      <x:c r="B191" s="119" t="str">
        <x:v>Regra de negócio</x:v>
      </x:c>
      <x:c r="C191" s="119" t="str">
        <x:v>EVOLUÇÃO NUTRICIONAL</x:v>
      </x:c>
      <x:c r="D191" s="119" t="str">
        <x:v>Dados vinculados permanecem identificados pela data e avaliação de origem.</x:v>
      </x:c>
      <x:c r="E191" s="119" t="str">
        <x:v>Parcial</x:v>
      </x:c>
      <x:c r="F191" s="120" t="n">
        <x:f>IF(E191="Implementado",1,IF(E191="Parcial",0.5,0))</x:f>
        <x:v>0.5</x:v>
      </x:c>
      <x:c r="G191" s="119" t="str">
        <x:v>src/nutri_app/services/report.py; src/nutri_app/repositories/dashboard_repository.py; database/schema.sql</x:v>
      </x:c>
      <x:c r="H191" s="119" t="str">
        <x:v>Não há evolução SOAPI/narrativa como registro clínico versionado, assinado, com adendo e próxima reavaliação.</x:v>
      </x:c>
      <x:c r="I191" s="119" t="str">
        <x:v>P0</x:v>
      </x:c>
      <x:c r="J191" s="119" t="str">
        <x:v>Média</x:v>
      </x:c>
      <x:c r="K191" s="1"/>
    </x:row>
    <x:row r="192" ht="24" hidden="0" customHeight="1">
      <x:c r="A192" s="119" t="str">
        <x:v>RF-M23-01</x:v>
      </x:c>
      <x:c r="B192" s="119" t="str">
        <x:v>Funcional</x:v>
      </x:c>
      <x:c r="C192" s="119" t="str">
        <x:v>COMPARATIVO DE AVALIAÇÕES</x:v>
      </x:c>
      <x:c r="D192" s="119" t="str">
        <x:v>Seleção de duas ou mais avaliações e períodos personalizados.</x:v>
      </x:c>
      <x:c r="E192" s="119" t="str">
        <x:v>Parcial</x:v>
      </x:c>
      <x:c r="F192" s="120" t="n">
        <x:f>IF(E192="Implementado",1,IF(E192="Parcial",0.5,0))</x:f>
        <x:v>0.5</x:v>
      </x:c>
      <x:c r="G192" s="119" t="str">
        <x:v>src/nutri_app/ui/pages/dashboard_page.py; src/nutri_app/repositories/dashboard_repository.py</x:v>
      </x:c>
      <x:c r="H192" s="119" t="str">
        <x:v>Faltam seleção simultânea de avaliações/séries, variações absolutas/percentuais, eventos sobrepostos e navegação à origem.</x:v>
      </x:c>
      <x:c r="I192" s="119" t="str">
        <x:v>P1</x:v>
      </x:c>
      <x:c r="J192" s="119" t="str">
        <x:v>Média</x:v>
      </x:c>
      <x:c r="K192" s="1"/>
    </x:row>
    <x:row r="193" ht="24" hidden="0" customHeight="1">
      <x:c r="A193" s="119" t="str">
        <x:v>RF-M23-02</x:v>
      </x:c>
      <x:c r="B193" s="119" t="str">
        <x:v>Funcional</x:v>
      </x:c>
      <x:c r="C193" s="119" t="str">
        <x:v>COMPARATIVO DE AVALIAÇÕES</x:v>
      </x:c>
      <x:c r="D193" s="119" t="str">
        <x:v>Comparação de peso, IMC, circunferências, composição, ingestão, exames, risco, diagnóstico e adesão.</x:v>
      </x:c>
      <x:c r="E193" s="119" t="str">
        <x:v>Parcial</x:v>
      </x:c>
      <x:c r="F193" s="120" t="n">
        <x:f>IF(E193="Implementado",1,IF(E193="Parcial",0.5,0))</x:f>
        <x:v>0.5</x:v>
      </x:c>
      <x:c r="G193" s="119" t="str">
        <x:v>src/nutri_app/ui/pages/dashboard_page.py; src/nutri_app/repositories/dashboard_repository.py</x:v>
      </x:c>
      <x:c r="H193" s="119" t="str">
        <x:v>Faltam seleção simultânea de avaliações/séries, variações absolutas/percentuais, eventos sobrepostos e navegação à origem.</x:v>
      </x:c>
      <x:c r="I193" s="119" t="str">
        <x:v>P1</x:v>
      </x:c>
      <x:c r="J193" s="119" t="str">
        <x:v>Média</x:v>
      </x:c>
      <x:c r="K193" s="1"/>
    </x:row>
    <x:row r="194" ht="24" hidden="0" customHeight="1">
      <x:c r="A194" s="119" t="str">
        <x:v>RF-M23-03</x:v>
      </x:c>
      <x:c r="B194" s="119" t="str">
        <x:v>Funcional</x:v>
      </x:c>
      <x:c r="C194" s="119" t="str">
        <x:v>COMPARATIVO DE AVALIAÇÕES</x:v>
      </x:c>
      <x:c r="D194" s="119" t="str">
        <x:v>Variação absoluta e percentual com indicação da origem de cada valor.</x:v>
      </x:c>
      <x:c r="E194" s="119" t="str">
        <x:v>Parcial</x:v>
      </x:c>
      <x:c r="F194" s="120" t="n">
        <x:f>IF(E194="Implementado",1,IF(E194="Parcial",0.5,0))</x:f>
        <x:v>0.5</x:v>
      </x:c>
      <x:c r="G194" s="119" t="str">
        <x:v>src/nutri_app/ui/pages/dashboard_page.py; src/nutri_app/repositories/dashboard_repository.py</x:v>
      </x:c>
      <x:c r="H194" s="119" t="str">
        <x:v>Faltam seleção simultânea de avaliações/séries, variações absolutas/percentuais, eventos sobrepostos e navegação à origem.</x:v>
      </x:c>
      <x:c r="I194" s="119" t="str">
        <x:v>P1</x:v>
      </x:c>
      <x:c r="J194" s="119" t="str">
        <x:v>Média</x:v>
      </x:c>
      <x:c r="K194" s="1"/>
    </x:row>
    <x:row r="195" ht="24" hidden="0" customHeight="1">
      <x:c r="A195" s="119" t="str">
        <x:v>RF-M23-04</x:v>
      </x:c>
      <x:c r="B195" s="119" t="str">
        <x:v>Funcional</x:v>
      </x:c>
      <x:c r="C195" s="119" t="str">
        <x:v>COMPARATIVO DE AVALIAÇÕES</x:v>
      </x:c>
      <x:c r="D195" s="119" t="str">
        <x:v>Gráficos por período com filtros, unidades consistentes e possibilidade de ocultar séries.</x:v>
      </x:c>
      <x:c r="E195" s="119" t="str">
        <x:v>Parcial</x:v>
      </x:c>
      <x:c r="F195" s="120" t="n">
        <x:f>IF(E195="Implementado",1,IF(E195="Parcial",0.5,0))</x:f>
        <x:v>0.5</x:v>
      </x:c>
      <x:c r="G195" s="119" t="str">
        <x:v>src/nutri_app/ui/pages/dashboard_page.py; src/nutri_app/repositories/dashboard_repository.py</x:v>
      </x:c>
      <x:c r="H195" s="119" t="str">
        <x:v>Faltam seleção simultânea de avaliações/séries, variações absolutas/percentuais, eventos sobrepostos e navegação à origem.</x:v>
      </x:c>
      <x:c r="I195" s="119" t="str">
        <x:v>P1</x:v>
      </x:c>
      <x:c r="J195" s="119" t="str">
        <x:v>Média</x:v>
      </x:c>
      <x:c r="K195" s="1"/>
    </x:row>
    <x:row r="196" ht="36" hidden="0" customHeight="1">
      <x:c r="A196" s="119" t="str">
        <x:v>RF-M23-05</x:v>
      </x:c>
      <x:c r="B196" s="119" t="str">
        <x:v>Funcional</x:v>
      </x:c>
      <x:c r="C196" s="119" t="str">
        <x:v>COMPARATIVO DE AVALIAÇÕES</x:v>
      </x:c>
      <x:c r="D196" s="119" t="str">
        <x:v>Eventos clínicos e mudanças de prescrição sobrepostos à linha do tempo quando disponíveis.</x:v>
      </x:c>
      <x:c r="E196" s="119" t="str">
        <x:v>Não identificado</x:v>
      </x:c>
      <x:c r="F196" s="120" t="n">
        <x:f>IF(E196="Implementado",1,IF(E196="Parcial",0.5,0))</x:f>
        <x:v>0</x:v>
      </x:c>
      <x:c r="G196" s="119" t="str">
        <x:v>src/nutri_app/ui/pages/dashboard_page.py; src/nutri_app/repositories/dashboard_repository.py</x:v>
      </x:c>
      <x:c r="H196" s="119" t="str">
        <x:v>Não foi identificada evidência suficiente para este requisito. Faltam seleção simultânea de avaliações/séries, variações absolutas/percentuais, eventos sobrepostos e navegação à origem.</x:v>
      </x:c>
      <x:c r="I196" s="119" t="str">
        <x:v>P1</x:v>
      </x:c>
      <x:c r="J196" s="119" t="str">
        <x:v>Média</x:v>
      </x:c>
      <x:c r="K196" s="1"/>
    </x:row>
    <x:row r="197" ht="24" hidden="0" customHeight="1">
      <x:c r="A197" s="119" t="str">
        <x:v>RF-M23-06</x:v>
      </x:c>
      <x:c r="B197" s="119" t="str">
        <x:v>Funcional</x:v>
      </x:c>
      <x:c r="C197" s="119" t="str">
        <x:v>COMPARATIVO DE AVALIAÇÕES</x:v>
      </x:c>
      <x:c r="D197" s="119" t="str">
        <x:v>Exportação para relatório e abertura direta do registro de origem.</x:v>
      </x:c>
      <x:c r="E197" s="119" t="str">
        <x:v>Parcial</x:v>
      </x:c>
      <x:c r="F197" s="120" t="n">
        <x:f>IF(E197="Implementado",1,IF(E197="Parcial",0.5,0))</x:f>
        <x:v>0.5</x:v>
      </x:c>
      <x:c r="G197" s="119" t="str">
        <x:v>src/nutri_app/ui/pages/dashboard_page.py; src/nutri_app/repositories/dashboard_repository.py</x:v>
      </x:c>
      <x:c r="H197" s="119" t="str">
        <x:v>Faltam seleção simultânea de avaliações/séries, variações absolutas/percentuais, eventos sobrepostos e navegação à origem.</x:v>
      </x:c>
      <x:c r="I197" s="119" t="str">
        <x:v>P1</x:v>
      </x:c>
      <x:c r="J197" s="119" t="str">
        <x:v>Média</x:v>
      </x:c>
      <x:c r="K197" s="1"/>
    </x:row>
    <x:row r="198" ht="24" hidden="0" customHeight="1">
      <x:c r="A198" s="119" t="str">
        <x:v>RN-M23-01</x:v>
      </x:c>
      <x:c r="B198" s="119" t="str">
        <x:v>Regra de negócio</x:v>
      </x:c>
      <x:c r="C198" s="119" t="str">
        <x:v>COMPARATIVO DE AVALIAÇÕES</x:v>
      </x:c>
      <x:c r="D198" s="119" t="str">
        <x:v>Não comparar valores incompatíveis sem conversão validada ou aviso explícito de método/unidade.</x:v>
      </x:c>
      <x:c r="E198" s="119" t="str">
        <x:v>Parcial</x:v>
      </x:c>
      <x:c r="F198" s="120" t="n">
        <x:f>IF(E198="Implementado",1,IF(E198="Parcial",0.5,0))</x:f>
        <x:v>0.5</x:v>
      </x:c>
      <x:c r="G198" s="119" t="str">
        <x:v>src/nutri_app/ui/pages/dashboard_page.py; src/nutri_app/repositories/dashboard_repository.py</x:v>
      </x:c>
      <x:c r="H198" s="119" t="str">
        <x:v>Faltam seleção simultânea de avaliações/séries, variações absolutas/percentuais, eventos sobrepostos e navegação à origem.</x:v>
      </x:c>
      <x:c r="I198" s="119" t="str">
        <x:v>P1</x:v>
      </x:c>
      <x:c r="J198" s="119" t="str">
        <x:v>Média</x:v>
      </x:c>
      <x:c r="K198" s="1"/>
    </x:row>
    <x:row r="199" ht="24" hidden="0" customHeight="1">
      <x:c r="A199" s="119" t="str">
        <x:v>RN-M23-02</x:v>
      </x:c>
      <x:c r="B199" s="119" t="str">
        <x:v>Regra de negócio</x:v>
      </x:c>
      <x:c r="C199" s="119" t="str">
        <x:v>COMPARATIVO DE AVALIAÇÕES</x:v>
      </x:c>
      <x:c r="D199" s="119" t="str">
        <x:v>Ausência de dado deve ser exibida como lacuna, nunca como zero.</x:v>
      </x:c>
      <x:c r="E199" s="119" t="str">
        <x:v>Implementado</x:v>
      </x:c>
      <x:c r="F199" s="120" t="n">
        <x:f>IF(E199="Implementado",1,IF(E199="Parcial",0.5,0))</x:f>
        <x:v>1</x:v>
      </x:c>
      <x:c r="G199" s="119" t="str">
        <x:v>src/nutri_app/ui/pages/dashboard_page.py; src/nutri_app/repositories/dashboard_repository.py</x:v>
      </x:c>
      <x:c r="H199" s="119" t="str">
        <x:v>Cobertura identificada no escopo atual; ainda requer validação de uso real quando aplicável.</x:v>
      </x:c>
      <x:c r="I199" s="119" t="str">
        <x:v>—</x:v>
      </x:c>
      <x:c r="J199" s="119" t="str">
        <x:v>Alta</x:v>
      </x:c>
      <x:c r="K199" s="1"/>
    </x:row>
    <x:row r="200" ht="24" hidden="0" customHeight="1">
      <x:c r="A200" s="119" t="str">
        <x:v>RF-M24-01</x:v>
      </x:c>
      <x:c r="B200" s="119" t="str">
        <x:v>Funcional</x:v>
      </x:c>
      <x:c r="C200" s="119" t="str">
        <x:v>RELATÓRIOS</x:v>
      </x:c>
      <x:c r="D200" s="119" t="str">
        <x:v>Relatório nutricional, prontuário, avaliação, evolução, comparativo, exames, prescrição, plano, alta e terapias.</x:v>
      </x:c>
      <x:c r="E200" s="119" t="str">
        <x:v>Parcial</x:v>
      </x:c>
      <x:c r="F200" s="120" t="n">
        <x:f>IF(E200="Implementado",1,IF(E200="Parcial",0.5,0))</x:f>
        <x:v>0.5</x:v>
      </x:c>
      <x:c r="G200" s="119" t="str">
        <x:v>src/nutri_app/ui/pages/reports_page.py; src/nutri_app/services/report.py; src/nutri_app/repositories/report_repository.py; tests/test_reports.py</x:v>
      </x:c>
      <x:c r="H200" s="119" t="str">
        <x:v>Faltam modelos institucionais completos, CRN/assinatura, hash/versão/finalidade, mascaramento por consentimento e exportações estruturadas.</x:v>
      </x:c>
      <x:c r="I200" s="119" t="str">
        <x:v>P1</x:v>
      </x:c>
      <x:c r="J200" s="119" t="str">
        <x:v>Média</x:v>
      </x:c>
      <x:c r="K200" s="1"/>
    </x:row>
    <x:row r="201" ht="24" hidden="0" customHeight="1">
      <x:c r="A201" s="119" t="str">
        <x:v>RF-M24-02</x:v>
      </x:c>
      <x:c r="B201" s="119" t="str">
        <x:v>Funcional</x:v>
      </x:c>
      <x:c r="C201" s="119" t="str">
        <x:v>RELATÓRIOS</x:v>
      </x:c>
      <x:c r="D201" s="119" t="str">
        <x:v>Seleção de paciente, episódio, período, módulos e nível de detalhamento.</x:v>
      </x:c>
      <x:c r="E201" s="119" t="str">
        <x:v>Parcial</x:v>
      </x:c>
      <x:c r="F201" s="120" t="n">
        <x:f>IF(E201="Implementado",1,IF(E201="Parcial",0.5,0))</x:f>
        <x:v>0.5</x:v>
      </x:c>
      <x:c r="G201" s="119" t="str">
        <x:v>src/nutri_app/ui/pages/reports_page.py; src/nutri_app/services/report.py; src/nutri_app/repositories/report_repository.py; tests/test_reports.py</x:v>
      </x:c>
      <x:c r="H201" s="119" t="str">
        <x:v>Faltam modelos institucionais completos, CRN/assinatura, hash/versão/finalidade, mascaramento por consentimento e exportações estruturadas.</x:v>
      </x:c>
      <x:c r="I201" s="119" t="str">
        <x:v>P1</x:v>
      </x:c>
      <x:c r="J201" s="119" t="str">
        <x:v>Média</x:v>
      </x:c>
      <x:c r="K201" s="1"/>
    </x:row>
    <x:row r="202" ht="24" hidden="0" customHeight="1">
      <x:c r="A202" s="119" t="str">
        <x:v>RF-M24-03</x:v>
      </x:c>
      <x:c r="B202" s="119" t="str">
        <x:v>Funcional</x:v>
      </x:c>
      <x:c r="C202" s="119" t="str">
        <x:v>RELATÓRIOS</x:v>
      </x:c>
      <x:c r="D202" s="119" t="str">
        <x:v>Modelos com logotipo, instituição, profissional, CRN, cabeçalho, rodapé, paginação e área de assinatura.</x:v>
      </x:c>
      <x:c r="E202" s="119" t="str">
        <x:v>Parcial</x:v>
      </x:c>
      <x:c r="F202" s="120" t="n">
        <x:f>IF(E202="Implementado",1,IF(E202="Parcial",0.5,0))</x:f>
        <x:v>0.5</x:v>
      </x:c>
      <x:c r="G202" s="119" t="str">
        <x:v>src/nutri_app/ui/pages/reports_page.py; src/nutri_app/services/report.py; src/nutri_app/repositories/report_repository.py; tests/test_reports.py</x:v>
      </x:c>
      <x:c r="H202" s="119" t="str">
        <x:v>Faltam modelos institucionais completos, CRN/assinatura, hash/versão/finalidade, mascaramento por consentimento e exportações estruturadas.</x:v>
      </x:c>
      <x:c r="I202" s="119" t="str">
        <x:v>P1</x:v>
      </x:c>
      <x:c r="J202" s="119" t="str">
        <x:v>Média</x:v>
      </x:c>
      <x:c r="K202" s="1"/>
    </x:row>
    <x:row r="203" ht="24" hidden="0" customHeight="1">
      <x:c r="A203" s="119" t="str">
        <x:v>RF-M24-04</x:v>
      </x:c>
      <x:c r="B203" s="119" t="str">
        <x:v>Funcional</x:v>
      </x:c>
      <x:c r="C203" s="119" t="str">
        <x:v>RELATÓRIOS</x:v>
      </x:c>
      <x:c r="D203" s="119" t="str">
        <x:v>Pré-visualização, PDF, impressão e exportações estruturadas quando aplicáveis.</x:v>
      </x:c>
      <x:c r="E203" s="119" t="str">
        <x:v>Implementado</x:v>
      </x:c>
      <x:c r="F203" s="120" t="n">
        <x:f>IF(E203="Implementado",1,IF(E203="Parcial",0.5,0))</x:f>
        <x:v>1</x:v>
      </x:c>
      <x:c r="G203" s="119" t="str">
        <x:v>src/nutri_app/ui/pages/reports_page.py; src/nutri_app/services/report.py; src/nutri_app/repositories/report_repository.py; tests/test_reports.py</x:v>
      </x:c>
      <x:c r="H203" s="119" t="str">
        <x:v>Cobertura identificada no escopo atual; ainda requer validação de uso real quando aplicável.</x:v>
      </x:c>
      <x:c r="I203" s="119" t="str">
        <x:v>—</x:v>
      </x:c>
      <x:c r="J203" s="119" t="str">
        <x:v>Alta</x:v>
      </x:c>
      <x:c r="K203" s="1"/>
    </x:row>
    <x:row r="204" ht="24" hidden="0" customHeight="1">
      <x:c r="A204" s="119" t="str">
        <x:v>RF-M24-05</x:v>
      </x:c>
      <x:c r="B204" s="119" t="str">
        <x:v>Funcional</x:v>
      </x:c>
      <x:c r="C204" s="119" t="str">
        <x:v>RELATÓRIOS</x:v>
      </x:c>
      <x:c r="D204" s="119" t="str">
        <x:v>Histórico de documentos gerados com hash, autor, data, versão e finalidade.</x:v>
      </x:c>
      <x:c r="E204" s="119" t="str">
        <x:v>Parcial</x:v>
      </x:c>
      <x:c r="F204" s="120" t="n">
        <x:f>IF(E204="Implementado",1,IF(E204="Parcial",0.5,0))</x:f>
        <x:v>0.5</x:v>
      </x:c>
      <x:c r="G204" s="119" t="str">
        <x:v>src/nutri_app/ui/pages/reports_page.py; src/nutri_app/services/report.py; src/nutri_app/repositories/report_repository.py; tests/test_reports.py</x:v>
      </x:c>
      <x:c r="H204" s="119" t="str">
        <x:v>Faltam modelos institucionais completos, CRN/assinatura, hash/versão/finalidade, mascaramento por consentimento e exportações estruturadas.</x:v>
      </x:c>
      <x:c r="I204" s="119" t="str">
        <x:v>P1</x:v>
      </x:c>
      <x:c r="J204" s="119" t="str">
        <x:v>Média</x:v>
      </x:c>
      <x:c r="K204" s="1"/>
    </x:row>
    <x:row r="205" ht="24" hidden="0" customHeight="1">
      <x:c r="A205" s="119" t="str">
        <x:v>RF-M24-06</x:v>
      </x:c>
      <x:c r="B205" s="119" t="str">
        <x:v>Funcional</x:v>
      </x:c>
      <x:c r="C205" s="119" t="str">
        <x:v>RELATÓRIOS</x:v>
      </x:c>
      <x:c r="D205" s="119" t="str">
        <x:v>Mascaramento ou exclusão de dados conforme finalidade, consentimento e permissão.</x:v>
      </x:c>
      <x:c r="E205" s="119" t="str">
        <x:v>Parcial</x:v>
      </x:c>
      <x:c r="F205" s="120" t="n">
        <x:f>IF(E205="Implementado",1,IF(E205="Parcial",0.5,0))</x:f>
        <x:v>0.5</x:v>
      </x:c>
      <x:c r="G205" s="119" t="str">
        <x:v>src/nutri_app/ui/pages/reports_page.py; src/nutri_app/services/report.py; src/nutri_app/repositories/report_repository.py; tests/test_reports.py</x:v>
      </x:c>
      <x:c r="H205" s="119" t="str">
        <x:v>Faltam modelos institucionais completos, CRN/assinatura, hash/versão/finalidade, mascaramento por consentimento e exportações estruturadas.</x:v>
      </x:c>
      <x:c r="I205" s="119" t="str">
        <x:v>P1</x:v>
      </x:c>
      <x:c r="J205" s="119" t="str">
        <x:v>Média</x:v>
      </x:c>
      <x:c r="K205" s="1"/>
    </x:row>
    <x:row r="206" ht="24" hidden="0" customHeight="1">
      <x:c r="A206" s="119" t="str">
        <x:v>RN-M24-01</x:v>
      </x:c>
      <x:c r="B206" s="119" t="str">
        <x:v>Regra de negócio</x:v>
      </x:c>
      <x:c r="C206" s="119" t="str">
        <x:v>RELATÓRIOS</x:v>
      </x:c>
      <x:c r="D206" s="119" t="str">
        <x:v>A geração não altera dados clínicos e deve indicar fontes/períodos utilizados.</x:v>
      </x:c>
      <x:c r="E206" s="119" t="str">
        <x:v>Implementado</x:v>
      </x:c>
      <x:c r="F206" s="120" t="n">
        <x:f>IF(E206="Implementado",1,IF(E206="Parcial",0.5,0))</x:f>
        <x:v>1</x:v>
      </x:c>
      <x:c r="G206" s="119" t="str">
        <x:v>src/nutri_app/ui/pages/reports_page.py; src/nutri_app/services/report.py; src/nutri_app/repositories/report_repository.py; tests/test_reports.py</x:v>
      </x:c>
      <x:c r="H206" s="119" t="str">
        <x:v>Cobertura identificada no escopo atual; ainda requer validação de uso real quando aplicável.</x:v>
      </x:c>
      <x:c r="I206" s="119" t="str">
        <x:v>—</x:v>
      </x:c>
      <x:c r="J206" s="119" t="str">
        <x:v>Alta</x:v>
      </x:c>
      <x:c r="K206" s="1"/>
    </x:row>
    <x:row r="207" ht="36" hidden="0" customHeight="1">
      <x:c r="A207" s="119" t="str">
        <x:v>RN-M24-02</x:v>
      </x:c>
      <x:c r="B207" s="119" t="str">
        <x:v>Regra de negócio</x:v>
      </x:c>
      <x:c r="C207" s="119" t="str">
        <x:v>RELATÓRIOS</x:v>
      </x:c>
      <x:c r="D207" s="119" t="str">
        <x:v>Assinatura digital e certificado são opcionais conforme configuração e requisito legal.</x:v>
      </x:c>
      <x:c r="E207" s="119" t="str">
        <x:v>Não identificado</x:v>
      </x:c>
      <x:c r="F207" s="120" t="n">
        <x:f>IF(E207="Implementado",1,IF(E207="Parcial",0.5,0))</x:f>
        <x:v>0</x:v>
      </x:c>
      <x:c r="G207" s="119" t="str">
        <x:v>src/nutri_app/ui/pages/reports_page.py; src/nutri_app/services/report.py; src/nutri_app/repositories/report_repository.py; tests/test_reports.py</x:v>
      </x:c>
      <x:c r="H207" s="119" t="str">
        <x:v>Não foi identificada evidência suficiente para este requisito. Faltam modelos institucionais completos, CRN/assinatura, hash/versão/finalidade, mascaramento por consentimento e exportações estruturadas.</x:v>
      </x:c>
      <x:c r="I207" s="119" t="str">
        <x:v>P1</x:v>
      </x:c>
      <x:c r="J207" s="119" t="str">
        <x:v>Média</x:v>
      </x:c>
      <x:c r="K207" s="1"/>
    </x:row>
    <x:row r="208" ht="24" hidden="0" customHeight="1">
      <x:c r="A208" s="119" t="str">
        <x:v>RF-M25-01</x:v>
      </x:c>
      <x:c r="B208" s="119" t="str">
        <x:v>Funcional</x:v>
      </x:c>
      <x:c r="C208" s="119" t="str">
        <x:v>ORIENTAÇÕES NUTRICIONAIS</x:v>
      </x:c>
      <x:c r="D208" s="119" t="str">
        <x:v>Materiais por condição, objetivo, faixa etária, consistência, terapia e contexto de alta/ambulatório.</x:v>
      </x:c>
      <x:c r="E208" s="119" t="str">
        <x:v>Parcial</x:v>
      </x:c>
      <x:c r="F208" s="120" t="n">
        <x:f>IF(E208="Implementado",1,IF(E208="Parcial",0.5,0))</x:f>
        <x:v>0.5</x:v>
      </x:c>
      <x:c r="G208" s="119" t="str">
        <x:v>src/nutri_app/ui/pages/patient_app_page.py; src/nutri_app/repositories/patient_app_repository.py</x:v>
      </x:c>
      <x:c r="H208" s="119" t="str">
        <x:v>Falta biblioteca/editor de orientações, modelos, imagens autorizadas, revisão clínica, versão, validade e comprovante de leitura.</x:v>
      </x:c>
      <x:c r="I208" s="119" t="str">
        <x:v>P1</x:v>
      </x:c>
      <x:c r="J208" s="119" t="str">
        <x:v>Média</x:v>
      </x:c>
      <x:c r="K208" s="1"/>
    </x:row>
    <x:row r="209" ht="36" hidden="0" customHeight="1">
      <x:c r="A209" s="119" t="str">
        <x:v>RF-M25-02</x:v>
      </x:c>
      <x:c r="B209" s="119" t="str">
        <x:v>Funcional</x:v>
      </x:c>
      <x:c r="C209" s="119" t="str">
        <x:v>ORIENTAÇÕES NUTRICIONAIS</x:v>
      </x:c>
      <x:c r="D209" s="119" t="str">
        <x:v>Editor com texto, imagens autorizadas, recomendações, cuidados, substituições e sinais de atenção.</x:v>
      </x:c>
      <x:c r="E209" s="119" t="str">
        <x:v>Não identificado</x:v>
      </x:c>
      <x:c r="F209" s="120" t="n">
        <x:f>IF(E209="Implementado",1,IF(E209="Parcial",0.5,0))</x:f>
        <x:v>0</x:v>
      </x:c>
      <x:c r="G209" s="119" t="str">
        <x:v>src/nutri_app/ui/pages/patient_app_page.py; src/nutri_app/repositories/patient_app_repository.py</x:v>
      </x:c>
      <x:c r="H209" s="119" t="str">
        <x:v>Não foi identificada evidência suficiente para este requisito. Falta biblioteca/editor de orientações, modelos, imagens autorizadas, revisão clínica, versão, validade e comprovante de leitura.</x:v>
      </x:c>
      <x:c r="I209" s="119" t="str">
        <x:v>P1</x:v>
      </x:c>
      <x:c r="J209" s="119" t="str">
        <x:v>Média</x:v>
      </x:c>
      <x:c r="K209" s="1"/>
    </x:row>
    <x:row r="210" ht="36" hidden="0" customHeight="1">
      <x:c r="A210" s="119" t="str">
        <x:v>RF-M25-03</x:v>
      </x:c>
      <x:c r="B210" s="119" t="str">
        <x:v>Funcional</x:v>
      </x:c>
      <x:c r="C210" s="119" t="str">
        <x:v>ORIENTAÇÕES NUTRICIONAIS</x:v>
      </x:c>
      <x:c r="D210" s="119" t="str">
        <x:v>Personalização pelo nutricionista sem modificar o modelo original.</x:v>
      </x:c>
      <x:c r="E210" s="119" t="str">
        <x:v>Não identificado</x:v>
      </x:c>
      <x:c r="F210" s="120" t="n">
        <x:f>IF(E210="Implementado",1,IF(E210="Parcial",0.5,0))</x:f>
        <x:v>0</x:v>
      </x:c>
      <x:c r="G210" s="119" t="str">
        <x:v>src/nutri_app/ui/pages/patient_app_page.py; src/nutri_app/repositories/patient_app_repository.py</x:v>
      </x:c>
      <x:c r="H210" s="119" t="str">
        <x:v>Não foi identificada evidência suficiente para este requisito. Falta biblioteca/editor de orientações, modelos, imagens autorizadas, revisão clínica, versão, validade e comprovante de leitura.</x:v>
      </x:c>
      <x:c r="I210" s="119" t="str">
        <x:v>P1</x:v>
      </x:c>
      <x:c r="J210" s="119" t="str">
        <x:v>Média</x:v>
      </x:c>
      <x:c r="K210" s="1"/>
    </x:row>
    <x:row r="211" ht="24" hidden="0" customHeight="1">
      <x:c r="A211" s="119" t="str">
        <x:v>RF-M25-04</x:v>
      </x:c>
      <x:c r="B211" s="119" t="str">
        <x:v>Funcional</x:v>
      </x:c>
      <x:c r="C211" s="119" t="str">
        <x:v>ORIENTAÇÕES NUTRICIONAIS</x:v>
      </x:c>
      <x:c r="D211" s="119" t="str">
        <x:v>Impressão, PDF, publicação no Portal do Paciente e registro de entrega/leitura.</x:v>
      </x:c>
      <x:c r="E211" s="119" t="str">
        <x:v>Parcial</x:v>
      </x:c>
      <x:c r="F211" s="120" t="n">
        <x:f>IF(E211="Implementado",1,IF(E211="Parcial",0.5,0))</x:f>
        <x:v>0.5</x:v>
      </x:c>
      <x:c r="G211" s="119" t="str">
        <x:v>src/nutri_app/ui/pages/patient_app_page.py; src/nutri_app/repositories/patient_app_repository.py</x:v>
      </x:c>
      <x:c r="H211" s="119" t="str">
        <x:v>Falta biblioteca/editor de orientações, modelos, imagens autorizadas, revisão clínica, versão, validade e comprovante de leitura.</x:v>
      </x:c>
      <x:c r="I211" s="119" t="str">
        <x:v>P1</x:v>
      </x:c>
      <x:c r="J211" s="119" t="str">
        <x:v>Média</x:v>
      </x:c>
      <x:c r="K211" s="1"/>
    </x:row>
    <x:row r="212" ht="36" hidden="0" customHeight="1">
      <x:c r="A212" s="119" t="str">
        <x:v>RF-M25-05</x:v>
      </x:c>
      <x:c r="B212" s="119" t="str">
        <x:v>Funcional</x:v>
      </x:c>
      <x:c r="C212" s="119" t="str">
        <x:v>ORIENTAÇÕES NUTRICIONAIS</x:v>
      </x:c>
      <x:c r="D212" s="119" t="str">
        <x:v>Versão, autoria, revisão clínica, validade e status ativo/inativo.</x:v>
      </x:c>
      <x:c r="E212" s="119" t="str">
        <x:v>Não identificado</x:v>
      </x:c>
      <x:c r="F212" s="120" t="n">
        <x:f>IF(E212="Implementado",1,IF(E212="Parcial",0.5,0))</x:f>
        <x:v>0</x:v>
      </x:c>
      <x:c r="G212" s="119" t="str">
        <x:v>src/nutri_app/ui/pages/patient_app_page.py; src/nutri_app/repositories/patient_app_repository.py</x:v>
      </x:c>
      <x:c r="H212" s="119" t="str">
        <x:v>Não foi identificada evidência suficiente para este requisito. Falta biblioteca/editor de orientações, modelos, imagens autorizadas, revisão clínica, versão, validade e comprovante de leitura.</x:v>
      </x:c>
      <x:c r="I212" s="119" t="str">
        <x:v>P1</x:v>
      </x:c>
      <x:c r="J212" s="119" t="str">
        <x:v>Média</x:v>
      </x:c>
      <x:c r="K212" s="1"/>
    </x:row>
    <x:row r="213" ht="24" hidden="0" customHeight="1">
      <x:c r="A213" s="119" t="str">
        <x:v>RN-M25-01</x:v>
      </x:c>
      <x:c r="B213" s="119" t="str">
        <x:v>Regra de negócio</x:v>
      </x:c>
      <x:c r="C213" s="119" t="str">
        <x:v>ORIENTAÇÕES NUTRICIONAIS</x:v>
      </x:c>
      <x:c r="D213" s="119" t="str">
        <x:v>Conteúdo educacional não substitui prescrição individual e exige revisão profissional.</x:v>
      </x:c>
      <x:c r="E213" s="119" t="str">
        <x:v>Parcial</x:v>
      </x:c>
      <x:c r="F213" s="120" t="n">
        <x:f>IF(E213="Implementado",1,IF(E213="Parcial",0.5,0))</x:f>
        <x:v>0.5</x:v>
      </x:c>
      <x:c r="G213" s="119" t="str">
        <x:v>src/nutri_app/ui/pages/patient_app_page.py; src/nutri_app/repositories/patient_app_repository.py</x:v>
      </x:c>
      <x:c r="H213" s="119" t="str">
        <x:v>Falta biblioteca/editor de orientações, modelos, imagens autorizadas, revisão clínica, versão, validade e comprovante de leitura.</x:v>
      </x:c>
      <x:c r="I213" s="119" t="str">
        <x:v>P1</x:v>
      </x:c>
      <x:c r="J213" s="119" t="str">
        <x:v>Média</x:v>
      </x:c>
      <x:c r="K213" s="1"/>
    </x:row>
    <x:row r="214" ht="24" hidden="0" customHeight="1">
      <x:c r="A214" s="119" t="str">
        <x:v>RN-M25-02</x:v>
      </x:c>
      <x:c r="B214" s="119" t="str">
        <x:v>Regra de negócio</x:v>
      </x:c>
      <x:c r="C214" s="119" t="str">
        <x:v>ORIENTAÇÕES NUTRICIONAIS</x:v>
      </x:c>
      <x:c r="D214" s="119" t="str">
        <x:v>Materiais entregues devem permanecer vinculados ao prontuário e à versão utilizada.</x:v>
      </x:c>
      <x:c r="E214" s="119" t="str">
        <x:v>Parcial</x:v>
      </x:c>
      <x:c r="F214" s="120" t="n">
        <x:f>IF(E214="Implementado",1,IF(E214="Parcial",0.5,0))</x:f>
        <x:v>0.5</x:v>
      </x:c>
      <x:c r="G214" s="119" t="str">
        <x:v>src/nutri_app/ui/pages/patient_app_page.py; src/nutri_app/repositories/patient_app_repository.py</x:v>
      </x:c>
      <x:c r="H214" s="119" t="str">
        <x:v>Falta biblioteca/editor de orientações, modelos, imagens autorizadas, revisão clínica, versão, validade e comprovante de leitura.</x:v>
      </x:c>
      <x:c r="I214" s="119" t="str">
        <x:v>P1</x:v>
      </x:c>
      <x:c r="J214" s="119" t="str">
        <x:v>Média</x:v>
      </x:c>
      <x:c r="K214" s="1"/>
    </x:row>
    <x:row r="215" ht="48" hidden="0" customHeight="1">
      <x:c r="A215" s="119" t="str">
        <x:v>RF-M26-01</x:v>
      </x:c>
      <x:c r="B215" s="119" t="str">
        <x:v>Funcional</x:v>
      </x:c>
      <x:c r="C215" s="119" t="str">
        <x:v>PROTOCOLOS</x:v>
      </x:c>
      <x:c r="D215" s="119" t="str">
        <x:v>Cadastro de nome, categoria, população, versão, fonte, vigência, responsável e status de validação.</x:v>
      </x:c>
      <x:c r="E215" s="119" t="str">
        <x:v>Implementado</x:v>
      </x:c>
      <x:c r="F215" s="120" t="n">
        <x:f>IF(E215="Implementado",1,IF(E215="Parcial",0.5,0))</x:f>
        <x:v>1</x:v>
      </x:c>
      <x:c r="G215" s="119" t="str">
        <x:v>src/nutri_app/ui/pages/clinical_governance_page.py; src/nutri_app/repositories/clinical_governance_repository.py; database/migrations/0021_security_governance.sql; src/nutri_app/services/release.py</x:v>
      </x:c>
      <x:c r="H215" s="119" t="str">
        <x:v>Cobertura identificada no escopo atual; ainda requer validação de uso real quando aplicável.</x:v>
      </x:c>
      <x:c r="I215" s="119" t="str">
        <x:v>—</x:v>
      </x:c>
      <x:c r="J215" s="119" t="str">
        <x:v>Alta</x:v>
      </x:c>
      <x:c r="K215" s="1"/>
    </x:row>
    <x:row r="216" ht="48" hidden="0" customHeight="1">
      <x:c r="A216" s="119" t="str">
        <x:v>RF-M26-02</x:v>
      </x:c>
      <x:c r="B216" s="119" t="str">
        <x:v>Funcional</x:v>
      </x:c>
      <x:c r="C216" s="119" t="str">
        <x:v>PROTOCOLOS</x:v>
      </x:c>
      <x:c r="D216" s="119" t="str">
        <x:v>Parâmetros, perguntas, pontuações, faixas, unidades, fórmulas e critérios de aplicabilidade.</x:v>
      </x:c>
      <x:c r="E216" s="119" t="str">
        <x:v>Parcial</x:v>
      </x:c>
      <x:c r="F216" s="120" t="n">
        <x:f>IF(E216="Implementado",1,IF(E216="Parcial",0.5,0))</x:f>
        <x:v>0.5</x:v>
      </x:c>
      <x:c r="G216" s="119" t="str">
        <x:v>src/nutri_app/ui/pages/clinical_governance_page.py; src/nutri_app/repositories/clinical_governance_repository.py; database/migrations/0021_security_governance.sql; src/nutri_app/services/release.py</x:v>
      </x:c>
      <x:c r="H216" s="119" t="str">
        <x:v>Falta cadastro dinâmico integral dos protocolos, parâmetros/fórmulas/casos de referência, comparação de versões e publicação imutável aos módulos.</x:v>
      </x:c>
      <x:c r="I216" s="119" t="str">
        <x:v>P0</x:v>
      </x:c>
      <x:c r="J216" s="119" t="str">
        <x:v>Média</x:v>
      </x:c>
      <x:c r="K216" s="1"/>
    </x:row>
    <x:row r="217" ht="48" hidden="0" customHeight="1">
      <x:c r="A217" s="119" t="str">
        <x:v>RF-M26-03</x:v>
      </x:c>
      <x:c r="B217" s="119" t="str">
        <x:v>Funcional</x:v>
      </x:c>
      <x:c r="C217" s="119" t="str">
        <x:v>PROTOCOLOS</x:v>
      </x:c>
      <x:c r="D217" s="119" t="str">
        <x:v>Protocolos antropométricos, clínicos, dietéticos, laboratoriais, hospitalares e de terapia nutricional.</x:v>
      </x:c>
      <x:c r="E217" s="119" t="str">
        <x:v>Parcial</x:v>
      </x:c>
      <x:c r="F217" s="120" t="n">
        <x:f>IF(E217="Implementado",1,IF(E217="Parcial",0.5,0))</x:f>
        <x:v>0.5</x:v>
      </x:c>
      <x:c r="G217" s="119" t="str">
        <x:v>src/nutri_app/ui/pages/clinical_governance_page.py; src/nutri_app/repositories/clinical_governance_repository.py; database/migrations/0021_security_governance.sql; src/nutri_app/services/release.py</x:v>
      </x:c>
      <x:c r="H217" s="119" t="str">
        <x:v>Falta cadastro dinâmico integral dos protocolos, parâmetros/fórmulas/casos de referência, comparação de versões e publicação imutável aos módulos.</x:v>
      </x:c>
      <x:c r="I217" s="119" t="str">
        <x:v>P0</x:v>
      </x:c>
      <x:c r="J217" s="119" t="str">
        <x:v>Média</x:v>
      </x:c>
      <x:c r="K217" s="1"/>
    </x:row>
    <x:row r="218" ht="48" hidden="0" customHeight="1">
      <x:c r="A218" s="119" t="str">
        <x:v>RF-M26-04</x:v>
      </x:c>
      <x:c r="B218" s="119" t="str">
        <x:v>Funcional</x:v>
      </x:c>
      <x:c r="C218" s="119" t="str">
        <x:v>PROTOCOLOS</x:v>
      </x:c>
      <x:c r="D218" s="119" t="str">
        <x:v>Ambiente de teste com casos de referência antes da publicação.</x:v>
      </x:c>
      <x:c r="E218" s="119" t="str">
        <x:v>Parcial</x:v>
      </x:c>
      <x:c r="F218" s="120" t="n">
        <x:f>IF(E218="Implementado",1,IF(E218="Parcial",0.5,0))</x:f>
        <x:v>0.5</x:v>
      </x:c>
      <x:c r="G218" s="119" t="str">
        <x:v>src/nutri_app/ui/pages/clinical_governance_page.py; src/nutri_app/repositories/clinical_governance_repository.py; database/migrations/0021_security_governance.sql; src/nutri_app/services/release.py</x:v>
      </x:c>
      <x:c r="H218" s="119" t="str">
        <x:v>Falta cadastro dinâmico integral dos protocolos, parâmetros/fórmulas/casos de referência, comparação de versões e publicação imutável aos módulos.</x:v>
      </x:c>
      <x:c r="I218" s="119" t="str">
        <x:v>P0</x:v>
      </x:c>
      <x:c r="J218" s="119" t="str">
        <x:v>Média</x:v>
      </x:c>
      <x:c r="K218" s="1"/>
    </x:row>
    <x:row r="219" ht="48" hidden="0" customHeight="1">
      <x:c r="A219" s="119" t="str">
        <x:v>RF-M26-05</x:v>
      </x:c>
      <x:c r="B219" s="119" t="str">
        <x:v>Funcional</x:v>
      </x:c>
      <x:c r="C219" s="119" t="str">
        <x:v>PROTOCOLOS</x:v>
      </x:c>
      <x:c r="D219" s="119" t="str">
        <x:v>Ativação/inativação, comparação de versões, aprovação, rejeição e histórico.</x:v>
      </x:c>
      <x:c r="E219" s="119" t="str">
        <x:v>Parcial</x:v>
      </x:c>
      <x:c r="F219" s="120" t="n">
        <x:f>IF(E219="Implementado",1,IF(E219="Parcial",0.5,0))</x:f>
        <x:v>0.5</x:v>
      </x:c>
      <x:c r="G219" s="119" t="str">
        <x:v>src/nutri_app/ui/pages/clinical_governance_page.py; src/nutri_app/repositories/clinical_governance_repository.py; database/migrations/0021_security_governance.sql; src/nutri_app/services/release.py</x:v>
      </x:c>
      <x:c r="H219" s="119" t="str">
        <x:v>Falta cadastro dinâmico integral dos protocolos, parâmetros/fórmulas/casos de referência, comparação de versões e publicação imutável aos módulos.</x:v>
      </x:c>
      <x:c r="I219" s="119" t="str">
        <x:v>P0</x:v>
      </x:c>
      <x:c r="J219" s="119" t="str">
        <x:v>Média</x:v>
      </x:c>
      <x:c r="K219" s="1"/>
    </x:row>
    <x:row r="220" ht="48" hidden="0" customHeight="1">
      <x:c r="A220" s="119" t="str">
        <x:v>RF-M26-06</x:v>
      </x:c>
      <x:c r="B220" s="119" t="str">
        <x:v>Funcional</x:v>
      </x:c>
      <x:c r="C220" s="119" t="str">
        <x:v>PROTOCOLOS</x:v>
      </x:c>
      <x:c r="D220" s="119" t="str">
        <x:v>Disponibilização automática aos módulos compatíveis por uma fonte única.</x:v>
      </x:c>
      <x:c r="E220" s="119" t="str">
        <x:v>Parcial</x:v>
      </x:c>
      <x:c r="F220" s="120" t="n">
        <x:f>IF(E220="Implementado",1,IF(E220="Parcial",0.5,0))</x:f>
        <x:v>0.5</x:v>
      </x:c>
      <x:c r="G220" s="119" t="str">
        <x:v>src/nutri_app/ui/pages/clinical_governance_page.py; src/nutri_app/repositories/clinical_governance_repository.py; database/migrations/0021_security_governance.sql; src/nutri_app/services/release.py</x:v>
      </x:c>
      <x:c r="H220" s="119" t="str">
        <x:v>Falta cadastro dinâmico integral dos protocolos, parâmetros/fórmulas/casos de referência, comparação de versões e publicação imutável aos módulos.</x:v>
      </x:c>
      <x:c r="I220" s="119" t="str">
        <x:v>P0</x:v>
      </x:c>
      <x:c r="J220" s="119" t="str">
        <x:v>Média</x:v>
      </x:c>
      <x:c r="K220" s="1"/>
    </x:row>
    <x:row r="221" ht="48" hidden="0" customHeight="1">
      <x:c r="A221" s="119" t="str">
        <x:v>RN-M26-01</x:v>
      </x:c>
      <x:c r="B221" s="119" t="str">
        <x:v>Regra de negócio</x:v>
      </x:c>
      <x:c r="C221" s="119" t="str">
        <x:v>PROTOCOLOS</x:v>
      </x:c>
      <x:c r="D221" s="119" t="str">
        <x:v>Versão publicada não pode ser alterada; correção gera nova versão com vigência.</x:v>
      </x:c>
      <x:c r="E221" s="119" t="str">
        <x:v>Parcial</x:v>
      </x:c>
      <x:c r="F221" s="120" t="n">
        <x:f>IF(E221="Implementado",1,IF(E221="Parcial",0.5,0))</x:f>
        <x:v>0.5</x:v>
      </x:c>
      <x:c r="G221" s="119" t="str">
        <x:v>src/nutri_app/ui/pages/clinical_governance_page.py; src/nutri_app/repositories/clinical_governance_repository.py; database/migrations/0021_security_governance.sql; src/nutri_app/services/release.py</x:v>
      </x:c>
      <x:c r="H221" s="119" t="str">
        <x:v>Falta cadastro dinâmico integral dos protocolos, parâmetros/fórmulas/casos de referência, comparação de versões e publicação imutável aos módulos.</x:v>
      </x:c>
      <x:c r="I221" s="119" t="str">
        <x:v>P0</x:v>
      </x:c>
      <x:c r="J221" s="119" t="str">
        <x:v>Média</x:v>
      </x:c>
      <x:c r="K221" s="1"/>
    </x:row>
    <x:row r="222" ht="48" hidden="0" customHeight="1">
      <x:c r="A222" s="119" t="str">
        <x:v>RN-M26-02</x:v>
      </x:c>
      <x:c r="B222" s="119" t="str">
        <x:v>Regra de negócio</x:v>
      </x:c>
      <x:c r="C222" s="119" t="str">
        <x:v>PROTOCOLOS</x:v>
      </x:c>
      <x:c r="D222" s="119" t="str">
        <x:v>Release clínico permanece bloqueado enquanto protocolos obrigatórios não estiverem aprovados.</x:v>
      </x:c>
      <x:c r="E222" s="119" t="str">
        <x:v>Implementado</x:v>
      </x:c>
      <x:c r="F222" s="120" t="n">
        <x:f>IF(E222="Implementado",1,IF(E222="Parcial",0.5,0))</x:f>
        <x:v>1</x:v>
      </x:c>
      <x:c r="G222" s="119" t="str">
        <x:v>src/nutri_app/ui/pages/clinical_governance_page.py; src/nutri_app/repositories/clinical_governance_repository.py; database/migrations/0021_security_governance.sql; src/nutri_app/services/release.py</x:v>
      </x:c>
      <x:c r="H222" s="119" t="str">
        <x:v>Cobertura identificada no escopo atual; ainda requer validação de uso real quando aplicável.</x:v>
      </x:c>
      <x:c r="I222" s="119" t="str">
        <x:v>—</x:v>
      </x:c>
      <x:c r="J222" s="119" t="str">
        <x:v>Alta</x:v>
      </x:c>
      <x:c r="K222" s="1"/>
    </x:row>
    <x:row r="223" ht="24" hidden="0" customHeight="1">
      <x:c r="A223" s="119" t="str">
        <x:v>RF-M27-01</x:v>
      </x:c>
      <x:c r="B223" s="119" t="str">
        <x:v>Funcional</x:v>
      </x:c>
      <x:c r="C223" s="119" t="str">
        <x:v>INDICADORES</x:v>
      </x:c>
      <x:c r="D223" s="119" t="str">
        <x:v>Cobertura de triagem/avaliação, prevalência de risco e desnutrição, obesidade e reavaliações no prazo.</x:v>
      </x:c>
      <x:c r="E223" s="119" t="str">
        <x:v>Parcial</x:v>
      </x:c>
      <x:c r="F223" s="120" t="n">
        <x:f>IF(E223="Implementado",1,IF(E223="Parcial",0.5,0))</x:f>
        <x:v>0.5</x:v>
      </x:c>
      <x:c r="G223" s="119" t="str">
        <x:v>src/nutri_app/repositories/dashboard_repository.py; src/nutri_app/ui/pages/dashboard_page.py</x:v>
      </x:c>
      <x:c r="H223" s="119" t="str">
        <x:v>Faltam catálogo de indicadores, fórmulas auditáveis, filtros amplos, metas e indicadores TNE/TNP/produtividade/qualidade.</x:v>
      </x:c>
      <x:c r="I223" s="119" t="str">
        <x:v>P1</x:v>
      </x:c>
      <x:c r="J223" s="119" t="str">
        <x:v>Média</x:v>
      </x:c>
      <x:c r="K223" s="1"/>
    </x:row>
    <x:row r="224" ht="24" hidden="0" customHeight="1">
      <x:c r="A224" s="119" t="str">
        <x:v>RF-M27-02</x:v>
      </x:c>
      <x:c r="B224" s="119" t="str">
        <x:v>Funcional</x:v>
      </x:c>
      <x:c r="C224" s="119" t="str">
        <x:v>INDICADORES</x:v>
      </x:c>
      <x:c r="D224" s="119" t="str">
        <x:v>Adequação de aporte, interrupções e intercorrências em TNE/TNP, adesão e evolução antropométrica.</x:v>
      </x:c>
      <x:c r="E224" s="119" t="str">
        <x:v>Parcial</x:v>
      </x:c>
      <x:c r="F224" s="120" t="n">
        <x:f>IF(E224="Implementado",1,IF(E224="Parcial",0.5,0))</x:f>
        <x:v>0.5</x:v>
      </x:c>
      <x:c r="G224" s="119" t="str">
        <x:v>src/nutri_app/repositories/dashboard_repository.py; src/nutri_app/ui/pages/dashboard_page.py</x:v>
      </x:c>
      <x:c r="H224" s="119" t="str">
        <x:v>Faltam catálogo de indicadores, fórmulas auditáveis, filtros amplos, metas e indicadores TNE/TNP/produtividade/qualidade.</x:v>
      </x:c>
      <x:c r="I224" s="119" t="str">
        <x:v>P1</x:v>
      </x:c>
      <x:c r="J224" s="119" t="str">
        <x:v>Média</x:v>
      </x:c>
      <x:c r="K224" s="1"/>
    </x:row>
    <x:row r="225" ht="24" hidden="0" customHeight="1">
      <x:c r="A225" s="119" t="str">
        <x:v>RF-M27-03</x:v>
      </x:c>
      <x:c r="B225" s="119" t="str">
        <x:v>Funcional</x:v>
      </x:c>
      <x:c r="C225" s="119" t="str">
        <x:v>INDICADORES</x:v>
      </x:c>
      <x:c r="D225" s="119" t="str">
        <x:v>Indicadores de prescrição, plano, evolução, produtividade, qualidade e tempo de acompanhamento.</x:v>
      </x:c>
      <x:c r="E225" s="119" t="str">
        <x:v>Parcial</x:v>
      </x:c>
      <x:c r="F225" s="120" t="n">
        <x:f>IF(E225="Implementado",1,IF(E225="Parcial",0.5,0))</x:f>
        <x:v>0.5</x:v>
      </x:c>
      <x:c r="G225" s="119" t="str">
        <x:v>src/nutri_app/repositories/dashboard_repository.py; src/nutri_app/ui/pages/dashboard_page.py</x:v>
      </x:c>
      <x:c r="H225" s="119" t="str">
        <x:v>Faltam catálogo de indicadores, fórmulas auditáveis, filtros amplos, metas e indicadores TNE/TNP/produtividade/qualidade.</x:v>
      </x:c>
      <x:c r="I225" s="119" t="str">
        <x:v>P1</x:v>
      </x:c>
      <x:c r="J225" s="119" t="str">
        <x:v>Média</x:v>
      </x:c>
      <x:c r="K225" s="1"/>
    </x:row>
    <x:row r="226" ht="24" hidden="0" customHeight="1">
      <x:c r="A226" s="119" t="str">
        <x:v>RF-M27-04</x:v>
      </x:c>
      <x:c r="B226" s="119" t="str">
        <x:v>Funcional</x:v>
      </x:c>
      <x:c r="C226" s="119" t="str">
        <x:v>INDICADORES</x:v>
      </x:c>
      <x:c r="D226" s="119" t="str">
        <x:v>Filtros por período, unidade, população, profissional e situação, com comparação temporal.</x:v>
      </x:c>
      <x:c r="E226" s="119" t="str">
        <x:v>Parcial</x:v>
      </x:c>
      <x:c r="F226" s="120" t="n">
        <x:f>IF(E226="Implementado",1,IF(E226="Parcial",0.5,0))</x:f>
        <x:v>0.5</x:v>
      </x:c>
      <x:c r="G226" s="119" t="str">
        <x:v>src/nutri_app/repositories/dashboard_repository.py; src/nutri_app/ui/pages/dashboard_page.py</x:v>
      </x:c>
      <x:c r="H226" s="119" t="str">
        <x:v>Faltam catálogo de indicadores, fórmulas auditáveis, filtros amplos, metas e indicadores TNE/TNP/produtividade/qualidade.</x:v>
      </x:c>
      <x:c r="I226" s="119" t="str">
        <x:v>P1</x:v>
      </x:c>
      <x:c r="J226" s="119" t="str">
        <x:v>Média</x:v>
      </x:c>
      <x:c r="K226" s="1"/>
    </x:row>
    <x:row r="227" ht="24" hidden="0" customHeight="1">
      <x:c r="A227" s="119" t="str">
        <x:v>RF-M27-05</x:v>
      </x:c>
      <x:c r="B227" s="119" t="str">
        <x:v>Funcional</x:v>
      </x:c>
      <x:c r="C227" s="119" t="str">
        <x:v>INDICADORES</x:v>
      </x:c>
      <x:c r="D227" s="119" t="str">
        <x:v>Metas, alertas, gráficos, detalhamento dos registros e relatório gerencial.</x:v>
      </x:c>
      <x:c r="E227" s="119" t="str">
        <x:v>Implementado</x:v>
      </x:c>
      <x:c r="F227" s="120" t="n">
        <x:f>IF(E227="Implementado",1,IF(E227="Parcial",0.5,0))</x:f>
        <x:v>1</x:v>
      </x:c>
      <x:c r="G227" s="119" t="str">
        <x:v>src/nutri_app/repositories/dashboard_repository.py; src/nutri_app/ui/pages/dashboard_page.py</x:v>
      </x:c>
      <x:c r="H227" s="119" t="str">
        <x:v>Cobertura identificada no escopo atual; ainda requer validação de uso real quando aplicável.</x:v>
      </x:c>
      <x:c r="I227" s="119" t="str">
        <x:v>—</x:v>
      </x:c>
      <x:c r="J227" s="119" t="str">
        <x:v>Alta</x:v>
      </x:c>
      <x:c r="K227" s="1"/>
    </x:row>
    <x:row r="228" ht="24" hidden="0" customHeight="1">
      <x:c r="A228" s="119" t="str">
        <x:v>RF-M27-06</x:v>
      </x:c>
      <x:c r="B228" s="119" t="str">
        <x:v>Funcional</x:v>
      </x:c>
      <x:c r="C228" s="119" t="str">
        <x:v>INDICADORES</x:v>
      </x:c>
      <x:c r="D228" s="119" t="str">
        <x:v>Cadastro de indicador com fórmula, fonte, periodicidade, responsável e validação.</x:v>
      </x:c>
      <x:c r="E228" s="119" t="str">
        <x:v>Não identificado</x:v>
      </x:c>
      <x:c r="F228" s="120" t="n">
        <x:f>IF(E228="Implementado",1,IF(E228="Parcial",0.5,0))</x:f>
        <x:v>0</x:v>
      </x:c>
      <x:c r="G228" s="119" t="str">
        <x:v>src/nutri_app/repositories/dashboard_repository.py; src/nutri_app/ui/pages/dashboard_page.py</x:v>
      </x:c>
      <x:c r="H228" s="119" t="str">
        <x:v>Não foi identificada evidência suficiente para este requisito. Faltam catálogo de indicadores, fórmulas auditáveis, filtros amplos, metas e indicadores TNE/TNP/produtividade/qualidade.</x:v>
      </x:c>
      <x:c r="I228" s="119" t="str">
        <x:v>P1</x:v>
      </x:c>
      <x:c r="J228" s="119" t="str">
        <x:v>Média</x:v>
      </x:c>
      <x:c r="K228" s="1"/>
    </x:row>
    <x:row r="229" ht="24" hidden="0" customHeight="1">
      <x:c r="A229" s="119" t="str">
        <x:v>RN-M27-01</x:v>
      </x:c>
      <x:c r="B229" s="119" t="str">
        <x:v>Regra de negócio</x:v>
      </x:c>
      <x:c r="C229" s="119" t="str">
        <x:v>INDICADORES</x:v>
      </x:c>
      <x:c r="D229" s="119" t="str">
        <x:v>Todo indicador deve permitir rastrear numerador, denominador, exclusões e registros de origem.</x:v>
      </x:c>
      <x:c r="E229" s="119" t="str">
        <x:v>Parcial</x:v>
      </x:c>
      <x:c r="F229" s="120" t="n">
        <x:f>IF(E229="Implementado",1,IF(E229="Parcial",0.5,0))</x:f>
        <x:v>0.5</x:v>
      </x:c>
      <x:c r="G229" s="119" t="str">
        <x:v>src/nutri_app/repositories/dashboard_repository.py; src/nutri_app/ui/pages/dashboard_page.py</x:v>
      </x:c>
      <x:c r="H229" s="119" t="str">
        <x:v>Faltam catálogo de indicadores, fórmulas auditáveis, filtros amplos, metas e indicadores TNE/TNP/produtividade/qualidade.</x:v>
      </x:c>
      <x:c r="I229" s="119" t="str">
        <x:v>P1</x:v>
      </x:c>
      <x:c r="J229" s="119" t="str">
        <x:v>Média</x:v>
      </x:c>
      <x:c r="K229" s="1"/>
    </x:row>
    <x:row r="230" ht="24" hidden="0" customHeight="1">
      <x:c r="A230" s="119" t="str">
        <x:v>RN-M27-02</x:v>
      </x:c>
      <x:c r="B230" s="119" t="str">
        <x:v>Regra de negócio</x:v>
      </x:c>
      <x:c r="C230" s="119" t="str">
        <x:v>INDICADORES</x:v>
      </x:c>
      <x:c r="D230" s="119" t="str">
        <x:v>Contagens fictícias e exemplos não podem aparecer como dados reais.</x:v>
      </x:c>
      <x:c r="E230" s="119" t="str">
        <x:v>Implementado</x:v>
      </x:c>
      <x:c r="F230" s="120" t="n">
        <x:f>IF(E230="Implementado",1,IF(E230="Parcial",0.5,0))</x:f>
        <x:v>1</x:v>
      </x:c>
      <x:c r="G230" s="119" t="str">
        <x:v>src/nutri_app/repositories/dashboard_repository.py; src/nutri_app/ui/pages/dashboard_page.py</x:v>
      </x:c>
      <x:c r="H230" s="119" t="str">
        <x:v>Cobertura identificada no escopo atual; ainda requer validação de uso real quando aplicável.</x:v>
      </x:c>
      <x:c r="I230" s="119" t="str">
        <x:v>—</x:v>
      </x:c>
      <x:c r="J230" s="119" t="str">
        <x:v>Alta</x:v>
      </x:c>
      <x:c r="K230" s="1"/>
    </x:row>
    <x:row r="231" ht="24" hidden="0" customHeight="1">
      <x:c r="A231" s="119" t="str">
        <x:v>RF-M28-01</x:v>
      </x:c>
      <x:c r="B231" s="119" t="str">
        <x:v>Funcional</x:v>
      </x:c>
      <x:c r="C231" s="119" t="str">
        <x:v>CONFIGURAÇÕES</x:v>
      </x:c>
      <x:c r="D231" s="119" t="str">
        <x:v>Empresa, unidades, logotipo, profissionais, árvore de leitos, formatos de data/hora e unidades.</x:v>
      </x:c>
      <x:c r="E231" s="119" t="str">
        <x:v>Parcial</x:v>
      </x:c>
      <x:c r="F231" s="120" t="n">
        <x:f>IF(E231="Implementado",1,IF(E231="Parcial",0.5,0))</x:f>
        <x:v>0.5</x:v>
      </x:c>
      <x:c r="G231" s="119" t="str">
        <x:v>src/nutri_app/ui/pages/settings_page.py; src/nutri_app/services/backup.py; src/nutri_app/services/automatic_backup.py; tests/test_backup_security.py</x:v>
      </x:c>
      <x:c r="H231" s="119" t="str">
        <x:v>Faltam configuração institucional completa, temas/modelos, canais reais, painel de serviços e confirmação reforçada uniforme.</x:v>
      </x:c>
      <x:c r="I231" s="119" t="str">
        <x:v>P0</x:v>
      </x:c>
      <x:c r="J231" s="119" t="str">
        <x:v>Média</x:v>
      </x:c>
      <x:c r="K231" s="1"/>
    </x:row>
    <x:row r="232" ht="24" hidden="0" customHeight="1">
      <x:c r="A232" s="119" t="str">
        <x:v>RF-M28-02</x:v>
      </x:c>
      <x:c r="B232" s="119" t="str">
        <x:v>Funcional</x:v>
      </x:c>
      <x:c r="C232" s="119" t="str">
        <x:v>CONFIGURAÇÕES</x:v>
      </x:c>
      <x:c r="D232" s="119" t="str">
        <x:v>Preferências de avaliação, arredondamento, alertas, prazos, tema e comportamento de cards.</x:v>
      </x:c>
      <x:c r="E232" s="119" t="str">
        <x:v>Parcial</x:v>
      </x:c>
      <x:c r="F232" s="120" t="n">
        <x:f>IF(E232="Implementado",1,IF(E232="Parcial",0.5,0))</x:f>
        <x:v>0.5</x:v>
      </x:c>
      <x:c r="G232" s="119" t="str">
        <x:v>src/nutri_app/ui/pages/settings_page.py; src/nutri_app/services/backup.py; src/nutri_app/services/automatic_backup.py; tests/test_backup_security.py</x:v>
      </x:c>
      <x:c r="H232" s="119" t="str">
        <x:v>Faltam configuração institucional completa, temas/modelos, canais reais, painel de serviços e confirmação reforçada uniforme.</x:v>
      </x:c>
      <x:c r="I232" s="119" t="str">
        <x:v>P0</x:v>
      </x:c>
      <x:c r="J232" s="119" t="str">
        <x:v>Média</x:v>
      </x:c>
      <x:c r="K232" s="1"/>
    </x:row>
    <x:row r="233" ht="24" hidden="0" customHeight="1">
      <x:c r="A233" s="119" t="str">
        <x:v>RF-M28-03</x:v>
      </x:c>
      <x:c r="B233" s="119" t="str">
        <x:v>Funcional</x:v>
      </x:c>
      <x:c r="C233" s="119" t="str">
        <x:v>CONFIGURAÇÕES</x:v>
      </x:c>
      <x:c r="D233" s="119" t="str">
        <x:v>Modelos de relatórios, orientações, mensagens e variáveis reutilizáveis.</x:v>
      </x:c>
      <x:c r="E233" s="119" t="str">
        <x:v>Parcial</x:v>
      </x:c>
      <x:c r="F233" s="120" t="n">
        <x:f>IF(E233="Implementado",1,IF(E233="Parcial",0.5,0))</x:f>
        <x:v>0.5</x:v>
      </x:c>
      <x:c r="G233" s="119" t="str">
        <x:v>src/nutri_app/ui/pages/settings_page.py; src/nutri_app/services/backup.py; src/nutri_app/services/automatic_backup.py; tests/test_backup_security.py</x:v>
      </x:c>
      <x:c r="H233" s="119" t="str">
        <x:v>Faltam configuração institucional completa, temas/modelos, canais reais, painel de serviços e confirmação reforçada uniforme.</x:v>
      </x:c>
      <x:c r="I233" s="119" t="str">
        <x:v>P0</x:v>
      </x:c>
      <x:c r="J233" s="119" t="str">
        <x:v>Média</x:v>
      </x:c>
      <x:c r="K233" s="1"/>
    </x:row>
    <x:row r="234" ht="24" hidden="0" customHeight="1">
      <x:c r="A234" s="119" t="str">
        <x:v>RF-M28-04</x:v>
      </x:c>
      <x:c r="B234" s="119" t="str">
        <x:v>Funcional</x:v>
      </x:c>
      <x:c r="C234" s="119" t="str">
        <x:v>CONFIGURAÇÕES</x:v>
      </x:c>
      <x:c r="D234" s="119" t="str">
        <x:v>Backup manual/automático, destino, criptografia, retenção, restauração e teste de integridade.</x:v>
      </x:c>
      <x:c r="E234" s="119" t="str">
        <x:v>Implementado</x:v>
      </x:c>
      <x:c r="F234" s="120" t="n">
        <x:f>IF(E234="Implementado",1,IF(E234="Parcial",0.5,0))</x:f>
        <x:v>1</x:v>
      </x:c>
      <x:c r="G234" s="119" t="str">
        <x:v>src/nutri_app/ui/pages/settings_page.py; src/nutri_app/services/backup.py; src/nutri_app/services/automatic_backup.py; tests/test_backup_security.py</x:v>
      </x:c>
      <x:c r="H234" s="119" t="str">
        <x:v>Cobertura identificada no escopo atual; ainda requer validação de uso real quando aplicável.</x:v>
      </x:c>
      <x:c r="I234" s="119" t="str">
        <x:v>—</x:v>
      </x:c>
      <x:c r="J234" s="119" t="str">
        <x:v>Alta</x:v>
      </x:c>
      <x:c r="K234" s="1"/>
    </x:row>
    <x:row r="235" ht="24" hidden="0" customHeight="1">
      <x:c r="A235" s="119" t="str">
        <x:v>RF-M28-05</x:v>
      </x:c>
      <x:c r="B235" s="119" t="str">
        <x:v>Funcional</x:v>
      </x:c>
      <x:c r="C235" s="119" t="str">
        <x:v>CONFIGURAÇÕES</x:v>
      </x:c>
      <x:c r="D235" s="119" t="str">
        <x:v>Integrações de e-mail, SMS, WhatsApp, calendário, pagamentos, armazenamento e APIs.</x:v>
      </x:c>
      <x:c r="E235" s="119" t="str">
        <x:v>Parcial</x:v>
      </x:c>
      <x:c r="F235" s="120" t="n">
        <x:f>IF(E235="Implementado",1,IF(E235="Parcial",0.5,0))</x:f>
        <x:v>0.5</x:v>
      </x:c>
      <x:c r="G235" s="119" t="str">
        <x:v>src/nutri_app/ui/pages/settings_page.py; src/nutri_app/services/backup.py; src/nutri_app/services/automatic_backup.py; tests/test_backup_security.py</x:v>
      </x:c>
      <x:c r="H235" s="119" t="str">
        <x:v>Faltam configuração institucional completa, temas/modelos, canais reais, painel de serviços e confirmação reforçada uniforme.</x:v>
      </x:c>
      <x:c r="I235" s="119" t="str">
        <x:v>P0</x:v>
      </x:c>
      <x:c r="J235" s="119" t="str">
        <x:v>Média</x:v>
      </x:c>
      <x:c r="K235" s="1"/>
    </x:row>
    <x:row r="236" ht="24" hidden="0" customHeight="1">
      <x:c r="A236" s="119" t="str">
        <x:v>RF-M28-06</x:v>
      </x:c>
      <x:c r="B236" s="119" t="str">
        <x:v>Funcional</x:v>
      </x:c>
      <x:c r="C236" s="119" t="str">
        <x:v>CONFIGURAÇÕES</x:v>
      </x:c>
      <x:c r="D236" s="119" t="str">
        <x:v>Sincronização, status de serviços, gestão de segredos e auditoria de alterações.</x:v>
      </x:c>
      <x:c r="E236" s="119" t="str">
        <x:v>Parcial</x:v>
      </x:c>
      <x:c r="F236" s="120" t="n">
        <x:f>IF(E236="Implementado",1,IF(E236="Parcial",0.5,0))</x:f>
        <x:v>0.5</x:v>
      </x:c>
      <x:c r="G236" s="119" t="str">
        <x:v>src/nutri_app/ui/pages/settings_page.py; src/nutri_app/services/backup.py; src/nutri_app/services/automatic_backup.py; tests/test_backup_security.py</x:v>
      </x:c>
      <x:c r="H236" s="119" t="str">
        <x:v>Faltam configuração institucional completa, temas/modelos, canais reais, painel de serviços e confirmação reforçada uniforme.</x:v>
      </x:c>
      <x:c r="I236" s="119" t="str">
        <x:v>P0</x:v>
      </x:c>
      <x:c r="J236" s="119" t="str">
        <x:v>Média</x:v>
      </x:c>
      <x:c r="K236" s="1"/>
    </x:row>
    <x:row r="237" ht="24" hidden="0" customHeight="1">
      <x:c r="A237" s="119" t="str">
        <x:v>RN-M28-01</x:v>
      </x:c>
      <x:c r="B237" s="119" t="str">
        <x:v>Regra de negócio</x:v>
      </x:c>
      <x:c r="C237" s="119" t="str">
        <x:v>CONFIGURAÇÕES</x:v>
      </x:c>
      <x:c r="D237" s="119" t="str">
        <x:v>Configurações sensíveis exigem permissão administrativa e confirmação reforçada.</x:v>
      </x:c>
      <x:c r="E237" s="119" t="str">
        <x:v>Parcial</x:v>
      </x:c>
      <x:c r="F237" s="120" t="n">
        <x:f>IF(E237="Implementado",1,IF(E237="Parcial",0.5,0))</x:f>
        <x:v>0.5</x:v>
      </x:c>
      <x:c r="G237" s="119" t="str">
        <x:v>src/nutri_app/ui/pages/settings_page.py; src/nutri_app/services/backup.py; src/nutri_app/services/automatic_backup.py; tests/test_backup_security.py</x:v>
      </x:c>
      <x:c r="H237" s="119" t="str">
        <x:v>Faltam configuração institucional completa, temas/modelos, canais reais, painel de serviços e confirmação reforçada uniforme.</x:v>
      </x:c>
      <x:c r="I237" s="119" t="str">
        <x:v>P0</x:v>
      </x:c>
      <x:c r="J237" s="119" t="str">
        <x:v>Média</x:v>
      </x:c>
      <x:c r="K237" s="1"/>
    </x:row>
    <x:row r="238" ht="24" hidden="0" customHeight="1">
      <x:c r="A238" s="119" t="str">
        <x:v>RN-M28-02</x:v>
      </x:c>
      <x:c r="B238" s="119" t="str">
        <x:v>Regra de negócio</x:v>
      </x:c>
      <x:c r="C238" s="119" t="str">
        <x:v>CONFIGURAÇÕES</x:v>
      </x:c>
      <x:c r="D238" s="119" t="str">
        <x:v>Segredos não devem ser exibidos integralmente nem armazenados em texto simples.</x:v>
      </x:c>
      <x:c r="E238" s="119" t="str">
        <x:v>Implementado</x:v>
      </x:c>
      <x:c r="F238" s="120" t="n">
        <x:f>IF(E238="Implementado",1,IF(E238="Parcial",0.5,0))</x:f>
        <x:v>1</x:v>
      </x:c>
      <x:c r="G238" s="119" t="str">
        <x:v>src/nutri_app/ui/pages/settings_page.py; src/nutri_app/services/backup.py; src/nutri_app/services/automatic_backup.py; tests/test_backup_security.py</x:v>
      </x:c>
      <x:c r="H238" s="119" t="str">
        <x:v>Cobertura identificada no escopo atual; ainda requer validação de uso real quando aplicável.</x:v>
      </x:c>
      <x:c r="I238" s="119" t="str">
        <x:v>—</x:v>
      </x:c>
      <x:c r="J238" s="119" t="str">
        <x:v>Alta</x:v>
      </x:c>
      <x:c r="K238" s="1"/>
    </x:row>
    <x:row r="239" ht="36" hidden="0" customHeight="1">
      <x:c r="A239" s="119" t="str">
        <x:v>RF-M29-01</x:v>
      </x:c>
      <x:c r="B239" s="119" t="str">
        <x:v>Funcional</x:v>
      </x:c>
      <x:c r="C239" s="119" t="str">
        <x:v>USUÁRIOS E PERMISSÕES</x:v>
      </x:c>
      <x:c r="D239" s="119" t="str">
        <x:v>Usuários com nome, contato, conselho/UF, unidade, função, status e validade de acesso.</x:v>
      </x:c>
      <x:c r="E239" s="119" t="str">
        <x:v>Parcial</x:v>
      </x:c>
      <x:c r="F239" s="120" t="n">
        <x:f>IF(E239="Implementado",1,IF(E239="Parcial",0.5,0))</x:f>
        <x:v>0.5</x:v>
      </x:c>
      <x:c r="G239" s="119" t="str">
        <x:v>src/nutri_app/services/auth.py; src/nutri_app/services/security.py; src/nutri_app/repositories/user_repository.py; src/nutri_app/repositories/audit_repository.py; tests/test_auth.py</x:v>
      </x:c>
      <x:c r="H239" s="119" t="str">
        <x:v>Faltam perfis/escopos configuráveis completos, recuperação, 2FA, expiração/revogação de sessão, dispositivos e exportação filtrada de auditoria.</x:v>
      </x:c>
      <x:c r="I239" s="119" t="str">
        <x:v>P0</x:v>
      </x:c>
      <x:c r="J239" s="119" t="str">
        <x:v>Média</x:v>
      </x:c>
      <x:c r="K239" s="1"/>
    </x:row>
    <x:row r="240" ht="36" hidden="0" customHeight="1">
      <x:c r="A240" s="119" t="str">
        <x:v>RF-M29-02</x:v>
      </x:c>
      <x:c r="B240" s="119" t="str">
        <x:v>Funcional</x:v>
      </x:c>
      <x:c r="C240" s="119" t="str">
        <x:v>USUÁRIOS E PERMISSÕES</x:v>
      </x:c>
      <x:c r="D240" s="119" t="str">
        <x:v>Perfis Administrador, Nutricionista, Coordenador/Gestor, Recepção, Auditor e outros configuráveis.</x:v>
      </x:c>
      <x:c r="E240" s="119" t="str">
        <x:v>Parcial</x:v>
      </x:c>
      <x:c r="F240" s="120" t="n">
        <x:f>IF(E240="Implementado",1,IF(E240="Parcial",0.5,0))</x:f>
        <x:v>0.5</x:v>
      </x:c>
      <x:c r="G240" s="119" t="str">
        <x:v>src/nutri_app/services/auth.py; src/nutri_app/services/security.py; src/nutri_app/repositories/user_repository.py; src/nutri_app/repositories/audit_repository.py; tests/test_auth.py</x:v>
      </x:c>
      <x:c r="H240" s="119" t="str">
        <x:v>Faltam perfis/escopos configuráveis completos, recuperação, 2FA, expiração/revogação de sessão, dispositivos e exportação filtrada de auditoria.</x:v>
      </x:c>
      <x:c r="I240" s="119" t="str">
        <x:v>P0</x:v>
      </x:c>
      <x:c r="J240" s="119" t="str">
        <x:v>Média</x:v>
      </x:c>
      <x:c r="K240" s="1"/>
    </x:row>
    <x:row r="241" ht="36" hidden="0" customHeight="1">
      <x:c r="A241" s="119" t="str">
        <x:v>RF-M29-03</x:v>
      </x:c>
      <x:c r="B241" s="119" t="str">
        <x:v>Funcional</x:v>
      </x:c>
      <x:c r="C241" s="119" t="str">
        <x:v>USUÁRIOS E PERMISSÕES</x:v>
      </x:c>
      <x:c r="D241" s="119" t="str">
        <x:v>Permissões por módulo e ação: visualizar, criar, editar, excluir logicamente, exportar, aprovar e administrar.</x:v>
      </x:c>
      <x:c r="E241" s="119" t="str">
        <x:v>Implementado</x:v>
      </x:c>
      <x:c r="F241" s="120" t="n">
        <x:f>IF(E241="Implementado",1,IF(E241="Parcial",0.5,0))</x:f>
        <x:v>1</x:v>
      </x:c>
      <x:c r="G241" s="119" t="str">
        <x:v>src/nutri_app/services/auth.py; src/nutri_app/services/security.py; src/nutri_app/repositories/user_repository.py; src/nutri_app/repositories/audit_repository.py; tests/test_auth.py</x:v>
      </x:c>
      <x:c r="H241" s="119" t="str">
        <x:v>Cobertura identificada no escopo atual; ainda requer validação de uso real quando aplicável.</x:v>
      </x:c>
      <x:c r="I241" s="119" t="str">
        <x:v>—</x:v>
      </x:c>
      <x:c r="J241" s="119" t="str">
        <x:v>Alta</x:v>
      </x:c>
      <x:c r="K241" s="1"/>
    </x:row>
    <x:row r="242" ht="36" hidden="0" customHeight="1">
      <x:c r="A242" s="119" t="str">
        <x:v>RF-M29-04</x:v>
      </x:c>
      <x:c r="B242" s="119" t="str">
        <x:v>Funcional</x:v>
      </x:c>
      <x:c r="C242" s="119" t="str">
        <x:v>USUÁRIOS E PERMISSÕES</x:v>
      </x:c>
      <x:c r="D242" s="119" t="str">
        <x:v>Escopo por unidade, profissional, paciente e sensibilidade do dado.</x:v>
      </x:c>
      <x:c r="E242" s="119" t="str">
        <x:v>Não identificado</x:v>
      </x:c>
      <x:c r="F242" s="120" t="n">
        <x:f>IF(E242="Implementado",1,IF(E242="Parcial",0.5,0))</x:f>
        <x:v>0</x:v>
      </x:c>
      <x:c r="G242" s="119" t="str">
        <x:v>src/nutri_app/services/auth.py; src/nutri_app/services/security.py; src/nutri_app/repositories/user_repository.py; src/nutri_app/repositories/audit_repository.py; tests/test_auth.py</x:v>
      </x:c>
      <x:c r="H242" s="119" t="str">
        <x:v>Não foi identificada evidência suficiente para este requisito. Faltam perfis/escopos configuráveis completos, recuperação, 2FA, expiração/revogação de sessão, dispositivos e exportação filtrada de auditoria.</x:v>
      </x:c>
      <x:c r="I242" s="119" t="str">
        <x:v>P0</x:v>
      </x:c>
      <x:c r="J242" s="119" t="str">
        <x:v>Média</x:v>
      </x:c>
      <x:c r="K242" s="1"/>
    </x:row>
    <x:row r="243" ht="36" hidden="0" customHeight="1">
      <x:c r="A243" s="119" t="str">
        <x:v>RF-M29-05</x:v>
      </x:c>
      <x:c r="B243" s="119" t="str">
        <x:v>Funcional</x:v>
      </x:c>
      <x:c r="C243" s="119" t="str">
        <x:v>USUÁRIOS E PERMISSÕES</x:v>
      </x:c>
      <x:c r="D243" s="119" t="str">
        <x:v>Senha forte, troca no primeiro acesso, bloqueio, expiração conforme política, recuperação e 2FA opcional.</x:v>
      </x:c>
      <x:c r="E243" s="119" t="str">
        <x:v>Parcial</x:v>
      </x:c>
      <x:c r="F243" s="120" t="n">
        <x:f>IF(E243="Implementado",1,IF(E243="Parcial",0.5,0))</x:f>
        <x:v>0.5</x:v>
      </x:c>
      <x:c r="G243" s="119" t="str">
        <x:v>src/nutri_app/services/auth.py; src/nutri_app/services/security.py; src/nutri_app/repositories/user_repository.py; src/nutri_app/repositories/audit_repository.py; tests/test_auth.py</x:v>
      </x:c>
      <x:c r="H243" s="119" t="str">
        <x:v>Faltam perfis/escopos configuráveis completos, recuperação, 2FA, expiração/revogação de sessão, dispositivos e exportação filtrada de auditoria.</x:v>
      </x:c>
      <x:c r="I243" s="119" t="str">
        <x:v>P0</x:v>
      </x:c>
      <x:c r="J243" s="119" t="str">
        <x:v>Média</x:v>
      </x:c>
      <x:c r="K243" s="1"/>
    </x:row>
    <x:row r="244" ht="36" hidden="0" customHeight="1">
      <x:c r="A244" s="119" t="str">
        <x:v>RF-M29-06</x:v>
      </x:c>
      <x:c r="B244" s="119" t="str">
        <x:v>Funcional</x:v>
      </x:c>
      <x:c r="C244" s="119" t="str">
        <x:v>USUÁRIOS E PERMISSÕES</x:v>
      </x:c>
      <x:c r="D244" s="119" t="str">
        <x:v>Sessão com expiração, revogação, histórico de dispositivos e confirmação para ações críticas.</x:v>
      </x:c>
      <x:c r="E244" s="119" t="str">
        <x:v>Não identificado</x:v>
      </x:c>
      <x:c r="F244" s="120" t="n">
        <x:f>IF(E244="Implementado",1,IF(E244="Parcial",0.5,0))</x:f>
        <x:v>0</x:v>
      </x:c>
      <x:c r="G244" s="119" t="str">
        <x:v>src/nutri_app/services/auth.py; src/nutri_app/services/security.py; src/nutri_app/repositories/user_repository.py; src/nutri_app/repositories/audit_repository.py; tests/test_auth.py</x:v>
      </x:c>
      <x:c r="H244" s="119" t="str">
        <x:v>Não foi identificada evidência suficiente para este requisito. Faltam perfis/escopos configuráveis completos, recuperação, 2FA, expiração/revogação de sessão, dispositivos e exportação filtrada de auditoria.</x:v>
      </x:c>
      <x:c r="I244" s="119" t="str">
        <x:v>P0</x:v>
      </x:c>
      <x:c r="J244" s="119" t="str">
        <x:v>Média</x:v>
      </x:c>
      <x:c r="K244" s="1"/>
    </x:row>
    <x:row r="245" ht="36" hidden="0" customHeight="1">
      <x:c r="A245" s="119" t="str">
        <x:v>RF-M29-07</x:v>
      </x:c>
      <x:c r="B245" s="119" t="str">
        <x:v>Funcional</x:v>
      </x:c>
      <x:c r="C245" s="119" t="str">
        <x:v>USUÁRIOS E PERMISSÕES</x:v>
      </x:c>
      <x:c r="D245" s="119" t="str">
        <x:v>Logs de acesso e alterações com filtros, valores anteriores/novos e exportação autorizada.</x:v>
      </x:c>
      <x:c r="E245" s="119" t="str">
        <x:v>Parcial</x:v>
      </x:c>
      <x:c r="F245" s="120" t="n">
        <x:f>IF(E245="Implementado",1,IF(E245="Parcial",0.5,0))</x:f>
        <x:v>0.5</x:v>
      </x:c>
      <x:c r="G245" s="119" t="str">
        <x:v>src/nutri_app/services/auth.py; src/nutri_app/services/security.py; src/nutri_app/repositories/user_repository.py; src/nutri_app/repositories/audit_repository.py; tests/test_auth.py</x:v>
      </x:c>
      <x:c r="H245" s="119" t="str">
        <x:v>Faltam perfis/escopos configuráveis completos, recuperação, 2FA, expiração/revogação de sessão, dispositivos e exportação filtrada de auditoria.</x:v>
      </x:c>
      <x:c r="I245" s="119" t="str">
        <x:v>P0</x:v>
      </x:c>
      <x:c r="J245" s="119" t="str">
        <x:v>Média</x:v>
      </x:c>
      <x:c r="K245" s="1"/>
    </x:row>
    <x:row r="246" ht="36" hidden="0" customHeight="1">
      <x:c r="A246" s="119" t="str">
        <x:v>RN-M29-01</x:v>
      </x:c>
      <x:c r="B246" s="119" t="str">
        <x:v>Regra de negócio</x:v>
      </x:c>
      <x:c r="C246" s="119" t="str">
        <x:v>USUÁRIOS E PERMISSÕES</x:v>
      </x:c>
      <x:c r="D246" s="119" t="str">
        <x:v>O menu deve ocultar módulos sem permissão e a API deve repetir a mesma autorização.</x:v>
      </x:c>
      <x:c r="E246" s="119" t="str">
        <x:v>Parcial</x:v>
      </x:c>
      <x:c r="F246" s="120" t="n">
        <x:f>IF(E246="Implementado",1,IF(E246="Parcial",0.5,0))</x:f>
        <x:v>0.5</x:v>
      </x:c>
      <x:c r="G246" s="119" t="str">
        <x:v>src/nutri_app/services/auth.py; src/nutri_app/services/security.py; src/nutri_app/repositories/user_repository.py; src/nutri_app/repositories/audit_repository.py; tests/test_auth.py</x:v>
      </x:c>
      <x:c r="H246" s="119" t="str">
        <x:v>Faltam perfis/escopos configuráveis completos, recuperação, 2FA, expiração/revogação de sessão, dispositivos e exportação filtrada de auditoria.</x:v>
      </x:c>
      <x:c r="I246" s="119" t="str">
        <x:v>P0</x:v>
      </x:c>
      <x:c r="J246" s="119" t="str">
        <x:v>Média</x:v>
      </x:c>
      <x:c r="K246" s="1"/>
    </x:row>
    <x:row r="247" ht="36" hidden="0" customHeight="1">
      <x:c r="A247" s="119" t="str">
        <x:v>RN-M29-02</x:v>
      </x:c>
      <x:c r="B247" s="119" t="str">
        <x:v>Regra de negócio</x:v>
      </x:c>
      <x:c r="C247" s="119" t="str">
        <x:v>USUÁRIOS E PERMISSÕES</x:v>
      </x:c>
      <x:c r="D247" s="119" t="str">
        <x:v>Nunca apagar logs, usuários históricos ou autoria de prontuário por exclusão de conta.</x:v>
      </x:c>
      <x:c r="E247" s="119" t="str">
        <x:v>Implementado</x:v>
      </x:c>
      <x:c r="F247" s="120" t="n">
        <x:f>IF(E247="Implementado",1,IF(E247="Parcial",0.5,0))</x:f>
        <x:v>1</x:v>
      </x:c>
      <x:c r="G247" s="119" t="str">
        <x:v>src/nutri_app/services/auth.py; src/nutri_app/services/security.py; src/nutri_app/repositories/user_repository.py; src/nutri_app/repositories/audit_repository.py; tests/test_auth.py</x:v>
      </x:c>
      <x:c r="H247" s="119" t="str">
        <x:v>Cobertura identificada no escopo atual; ainda requer validação de uso real quando aplicável.</x:v>
      </x:c>
      <x:c r="I247" s="119" t="str">
        <x:v>—</x:v>
      </x:c>
      <x:c r="J247" s="119" t="str">
        <x:v>Alta</x:v>
      </x:c>
      <x:c r="K247" s="1"/>
    </x:row>
    <x:row r="248" ht="24" hidden="0" customHeight="1">
      <x:c r="A248" s="119" t="str">
        <x:v>RF-M30-01</x:v>
      </x:c>
      <x:c r="B248" s="119" t="str">
        <x:v>Funcional</x:v>
      </x:c>
      <x:c r="C248" s="119" t="str">
        <x:v>IA NUTRICIONAL ASSISTIVA</x:v>
      </x:c>
      <x:c r="D248" s="119" t="str">
        <x:v>Resumo de prontuário, identificação de pendências e organização de dados registrados.</x:v>
      </x:c>
      <x:c r="E248" s="119" t="str">
        <x:v>Implementado</x:v>
      </x:c>
      <x:c r="F248" s="120" t="n">
        <x:f>IF(E248="Implementado",1,IF(E248="Parcial",0.5,0))</x:f>
        <x:v>1</x:v>
      </x:c>
      <x:c r="G248" s="119" t="str">
        <x:v>src/nutri_app/ui/pages/ai_assistant_page.py; src/nutri_app/services/ai_assistant.py; src/nutri_app/repositories/ai_assistant_repository.py; tests/test_ai_assistant.py</x:v>
      </x:c>
      <x:c r="H248" s="119" t="str">
        <x:v>Cobertura identificada no escopo atual; ainda requer validação de uso real quando aplicável.</x:v>
      </x:c>
      <x:c r="I248" s="119" t="str">
        <x:v>—</x:v>
      </x:c>
      <x:c r="J248" s="119" t="str">
        <x:v>Alta</x:v>
      </x:c>
      <x:c r="K248" s="1"/>
    </x:row>
    <x:row r="249" ht="24" hidden="0" customHeight="1">
      <x:c r="A249" s="119" t="str">
        <x:v>RF-M30-02</x:v>
      </x:c>
      <x:c r="B249" s="119" t="str">
        <x:v>Funcional</x:v>
      </x:c>
      <x:c r="C249" s="119" t="str">
        <x:v>IA NUTRICIONAL ASSISTIVA</x:v>
      </x:c>
      <x:c r="D249" s="119" t="str">
        <x:v>Sugestões revisáveis para diagnóstico, objetivos, plano, orientação e acompanhamento.</x:v>
      </x:c>
      <x:c r="E249" s="119" t="str">
        <x:v>Implementado</x:v>
      </x:c>
      <x:c r="F249" s="120" t="n">
        <x:f>IF(E249="Implementado",1,IF(E249="Parcial",0.5,0))</x:f>
        <x:v>1</x:v>
      </x:c>
      <x:c r="G249" s="119" t="str">
        <x:v>src/nutri_app/ui/pages/ai_assistant_page.py; src/nutri_app/services/ai_assistant.py; src/nutri_app/repositories/ai_assistant_repository.py; tests/test_ai_assistant.py</x:v>
      </x:c>
      <x:c r="H249" s="119" t="str">
        <x:v>Cobertura identificada no escopo atual; ainda requer validação de uso real quando aplicável.</x:v>
      </x:c>
      <x:c r="I249" s="119" t="str">
        <x:v>—</x:v>
      </x:c>
      <x:c r="J249" s="119" t="str">
        <x:v>Alta</x:v>
      </x:c>
      <x:c r="K249" s="1"/>
    </x:row>
    <x:row r="250" ht="24" hidden="0" customHeight="1">
      <x:c r="A250" s="119" t="str">
        <x:v>RF-M30-03</x:v>
      </x:c>
      <x:c r="B250" s="119" t="str">
        <x:v>Funcional</x:v>
      </x:c>
      <x:c r="C250" s="119" t="str">
        <x:v>IA NUTRICIONAL ASSISTIVA</x:v>
      </x:c>
      <x:c r="D250" s="119" t="str">
        <x:v>Análise de tendências de antropometria, ingestão, exames e adesão com explicação das evidências.</x:v>
      </x:c>
      <x:c r="E250" s="119" t="str">
        <x:v>Parcial</x:v>
      </x:c>
      <x:c r="F250" s="120" t="n">
        <x:f>IF(E250="Implementado",1,IF(E250="Parcial",0.5,0))</x:f>
        <x:v>0.5</x:v>
      </x:c>
      <x:c r="G250" s="119" t="str">
        <x:v>src/nutri_app/ui/pages/ai_assistant_page.py; src/nutri_app/services/ai_assistant.py; src/nutri_app/repositories/ai_assistant_repository.py; tests/test_ai_assistant.py</x:v>
      </x:c>
      <x:c r="H250" s="119" t="str">
        <x:v>Não há provedor externo, gestão de modelo/versão completa nem avaliação contínua de vieses, erros e impacto clínico.</x:v>
      </x:c>
      <x:c r="I250" s="119" t="str">
        <x:v>P1</x:v>
      </x:c>
      <x:c r="J250" s="119" t="str">
        <x:v>Média</x:v>
      </x:c>
      <x:c r="K250" s="1"/>
    </x:row>
    <x:row r="251" ht="24" hidden="0" customHeight="1">
      <x:c r="A251" s="119" t="str">
        <x:v>RF-M30-04</x:v>
      </x:c>
      <x:c r="B251" s="119" t="str">
        <x:v>Funcional</x:v>
      </x:c>
      <x:c r="C251" s="119" t="str">
        <x:v>IA NUTRICIONAL ASSISTIVA</x:v>
      </x:c>
      <x:c r="D251" s="119" t="str">
        <x:v>Modo local por regras e provedor externo opcional, identificado ao usuário.</x:v>
      </x:c>
      <x:c r="E251" s="119" t="str">
        <x:v>Parcial</x:v>
      </x:c>
      <x:c r="F251" s="120" t="n">
        <x:f>IF(E251="Implementado",1,IF(E251="Parcial",0.5,0))</x:f>
        <x:v>0.5</x:v>
      </x:c>
      <x:c r="G251" s="119" t="str">
        <x:v>src/nutri_app/ui/pages/ai_assistant_page.py; src/nutri_app/services/ai_assistant.py; src/nutri_app/repositories/ai_assistant_repository.py; tests/test_ai_assistant.py</x:v>
      </x:c>
      <x:c r="H251" s="119" t="str">
        <x:v>Não há provedor externo, gestão de modelo/versão completa nem avaliação contínua de vieses, erros e impacto clínico.</x:v>
      </x:c>
      <x:c r="I251" s="119" t="str">
        <x:v>P1</x:v>
      </x:c>
      <x:c r="J251" s="119" t="str">
        <x:v>Média</x:v>
      </x:c>
      <x:c r="K251" s="1"/>
    </x:row>
    <x:row r="252" ht="24" hidden="0" customHeight="1">
      <x:c r="A252" s="119" t="str">
        <x:v>RF-M30-05</x:v>
      </x:c>
      <x:c r="B252" s="119" t="str">
        <x:v>Funcional</x:v>
      </x:c>
      <x:c r="C252" s="119" t="str">
        <x:v>IA NUTRICIONAL ASSISTIVA</x:v>
      </x:c>
      <x:c r="D252" s="119" t="str">
        <x:v>Registro de solicitação, dados utilizados, resposta, modelo/versão, aceite, edição ou rejeição.</x:v>
      </x:c>
      <x:c r="E252" s="119" t="str">
        <x:v>Parcial</x:v>
      </x:c>
      <x:c r="F252" s="120" t="n">
        <x:f>IF(E252="Implementado",1,IF(E252="Parcial",0.5,0))</x:f>
        <x:v>0.5</x:v>
      </x:c>
      <x:c r="G252" s="119" t="str">
        <x:v>src/nutri_app/ui/pages/ai_assistant_page.py; src/nutri_app/services/ai_assistant.py; src/nutri_app/repositories/ai_assistant_repository.py; tests/test_ai_assistant.py</x:v>
      </x:c>
      <x:c r="H252" s="119" t="str">
        <x:v>Não há provedor externo, gestão de modelo/versão completa nem avaliação contínua de vieses, erros e impacto clínico.</x:v>
      </x:c>
      <x:c r="I252" s="119" t="str">
        <x:v>P1</x:v>
      </x:c>
      <x:c r="J252" s="119" t="str">
        <x:v>Média</x:v>
      </x:c>
      <x:c r="K252" s="1"/>
    </x:row>
    <x:row r="253" ht="24" hidden="0" customHeight="1">
      <x:c r="A253" s="119" t="str">
        <x:v>RF-M30-06</x:v>
      </x:c>
      <x:c r="B253" s="119" t="str">
        <x:v>Funcional</x:v>
      </x:c>
      <x:c r="C253" s="119" t="str">
        <x:v>IA NUTRICIONAL ASSISTIVA</x:v>
      </x:c>
      <x:c r="D253" s="119" t="str">
        <x:v>Avaliação contínua de qualidade, segurança, vieses, erros e impacto clínico.</x:v>
      </x:c>
      <x:c r="E253" s="119" t="str">
        <x:v>Não identificado</x:v>
      </x:c>
      <x:c r="F253" s="120" t="n">
        <x:f>IF(E253="Implementado",1,IF(E253="Parcial",0.5,0))</x:f>
        <x:v>0</x:v>
      </x:c>
      <x:c r="G253" s="119" t="str">
        <x:v>src/nutri_app/ui/pages/ai_assistant_page.py; src/nutri_app/services/ai_assistant.py; src/nutri_app/repositories/ai_assistant_repository.py; tests/test_ai_assistant.py</x:v>
      </x:c>
      <x:c r="H253" s="119" t="str">
        <x:v>Não foi identificada evidência suficiente para este requisito. Não há provedor externo, gestão de modelo/versão completa nem avaliação contínua de vieses, erros e impacto clínico.</x:v>
      </x:c>
      <x:c r="I253" s="119" t="str">
        <x:v>P1</x:v>
      </x:c>
      <x:c r="J253" s="119" t="str">
        <x:v>Média</x:v>
      </x:c>
      <x:c r="K253" s="1"/>
    </x:row>
    <x:row r="254" ht="24" hidden="0" customHeight="1">
      <x:c r="A254" s="119" t="str">
        <x:v>RN-M30-01</x:v>
      </x:c>
      <x:c r="B254" s="119" t="str">
        <x:v>Regra de negócio</x:v>
      </x:c>
      <x:c r="C254" s="119" t="str">
        <x:v>IA NUTRICIONAL ASSISTIVA</x:v>
      </x:c>
      <x:c r="D254" s="119" t="str">
        <x:v>Uso externo exige consentimento, minimização/anonimização, contrato e configuração segura de credenciais.</x:v>
      </x:c>
      <x:c r="E254" s="119" t="str">
        <x:v>Parcial</x:v>
      </x:c>
      <x:c r="F254" s="120" t="n">
        <x:f>IF(E254="Implementado",1,IF(E254="Parcial",0.5,0))</x:f>
        <x:v>0.5</x:v>
      </x:c>
      <x:c r="G254" s="119" t="str">
        <x:v>src/nutri_app/ui/pages/ai_assistant_page.py; src/nutri_app/services/ai_assistant.py; src/nutri_app/repositories/ai_assistant_repository.py; tests/test_ai_assistant.py</x:v>
      </x:c>
      <x:c r="H254" s="119" t="str">
        <x:v>Não há provedor externo, gestão de modelo/versão completa nem avaliação contínua de vieses, erros e impacto clínico.</x:v>
      </x:c>
      <x:c r="I254" s="119" t="str">
        <x:v>P1</x:v>
      </x:c>
      <x:c r="J254" s="119" t="str">
        <x:v>Média</x:v>
      </x:c>
      <x:c r="K254" s="1"/>
    </x:row>
    <x:row r="255" ht="24" hidden="0" customHeight="1">
      <x:c r="A255" s="119" t="str">
        <x:v>RN-M30-02</x:v>
      </x:c>
      <x:c r="B255" s="119" t="str">
        <x:v>Regra de negócio</x:v>
      </x:c>
      <x:c r="C255" s="119" t="str">
        <x:v>IA NUTRICIONAL ASSISTIVA</x:v>
      </x:c>
      <x:c r="D255" s="119" t="str">
        <x:v>A IA não pode assinar, prescrever, diagnosticar ou modificar prontuário sem confirmação explícita.</x:v>
      </x:c>
      <x:c r="E255" s="119" t="str">
        <x:v>Implementado</x:v>
      </x:c>
      <x:c r="F255" s="120" t="n">
        <x:f>IF(E255="Implementado",1,IF(E255="Parcial",0.5,0))</x:f>
        <x:v>1</x:v>
      </x:c>
      <x:c r="G255" s="119" t="str">
        <x:v>src/nutri_app/ui/pages/ai_assistant_page.py; src/nutri_app/services/ai_assistant.py; src/nutri_app/repositories/ai_assistant_repository.py; tests/test_ai_assistant.py</x:v>
      </x:c>
      <x:c r="H255" s="119" t="str">
        <x:v>Cobertura identificada no escopo atual; ainda requer validação de uso real quando aplicável.</x:v>
      </x:c>
      <x:c r="I255" s="119" t="str">
        <x:v>—</x:v>
      </x:c>
      <x:c r="J255" s="119" t="str">
        <x:v>Alta</x:v>
      </x:c>
      <x:c r="K255" s="1"/>
    </x:row>
    <x:row r="256" ht="36" hidden="0" customHeight="1">
      <x:c r="A256" s="119" t="str">
        <x:v>RF-M31-01</x:v>
      </x:c>
      <x:c r="B256" s="119" t="str">
        <x:v>Funcional</x:v>
      </x:c>
      <x:c r="C256" s="119" t="str">
        <x:v>AGENDA</x:v>
      </x:c>
      <x:c r="D256" s="119" t="str">
        <x:v>Visualização diária, semanal, mensal e em lista, com filtros por unidade, profissional, paciente e status.</x:v>
      </x:c>
      <x:c r="E256" s="119" t="str">
        <x:v>Parcial</x:v>
      </x:c>
      <x:c r="F256" s="120" t="n">
        <x:f>IF(E256="Implementado",1,IF(E256="Parcial",0.5,0))</x:f>
        <x:v>0.5</x:v>
      </x:c>
      <x:c r="G256" s="119" t="str">
        <x:v>src/nutri_app/ui/pages/appointments_page.py; src/nutri_app/repositories/appointment_repository.py; tests/test_appointment_repository.py</x:v>
      </x:c>
      <x:c r="H256" s="119" t="str">
        <x:v>Faltam visões calendário diária/semanal/mensal, duração/local/modalidade/valor completos, recorrência, conflitos, espera, lembretes e calendário externo.</x:v>
      </x:c>
      <x:c r="I256" s="119" t="str">
        <x:v>P1</x:v>
      </x:c>
      <x:c r="J256" s="119" t="str">
        <x:v>Média</x:v>
      </x:c>
      <x:c r="K256" s="1"/>
    </x:row>
    <x:row r="257" ht="36" hidden="0" customHeight="1">
      <x:c r="A257" s="119" t="str">
        <x:v>RF-M31-02</x:v>
      </x:c>
      <x:c r="B257" s="119" t="str">
        <x:v>Funcional</x:v>
      </x:c>
      <x:c r="C257" s="119" t="str">
        <x:v>AGENDA</x:v>
      </x:c>
      <x:c r="D257" s="119" t="str">
        <x:v>Nova consulta/retorno com paciente existente, tipo, data, duração, local, modalidade, observações e valor.</x:v>
      </x:c>
      <x:c r="E257" s="119" t="str">
        <x:v>Parcial</x:v>
      </x:c>
      <x:c r="F257" s="120" t="n">
        <x:f>IF(E257="Implementado",1,IF(E257="Parcial",0.5,0))</x:f>
        <x:v>0.5</x:v>
      </x:c>
      <x:c r="G257" s="119" t="str">
        <x:v>src/nutri_app/ui/pages/appointments_page.py; src/nutri_app/repositories/appointment_repository.py; tests/test_appointment_repository.py</x:v>
      </x:c>
      <x:c r="H257" s="119" t="str">
        <x:v>Faltam visões calendário diária/semanal/mensal, duração/local/modalidade/valor completos, recorrência, conflitos, espera, lembretes e calendário externo.</x:v>
      </x:c>
      <x:c r="I257" s="119" t="str">
        <x:v>P1</x:v>
      </x:c>
      <x:c r="J257" s="119" t="str">
        <x:v>Média</x:v>
      </x:c>
      <x:c r="K257" s="1"/>
    </x:row>
    <x:row r="258" ht="36" hidden="0" customHeight="1">
      <x:c r="A258" s="119" t="str">
        <x:v>RF-M31-03</x:v>
      </x:c>
      <x:c r="B258" s="119" t="str">
        <x:v>Funcional</x:v>
      </x:c>
      <x:c r="C258" s="119" t="str">
        <x:v>AGENDA</x:v>
      </x:c>
      <x:c r="D258" s="119" t="str">
        <x:v>Status agendado, confirmado, em atendimento, concluído, cancelado, remarcado e falta.</x:v>
      </x:c>
      <x:c r="E258" s="119" t="str">
        <x:v>Parcial</x:v>
      </x:c>
      <x:c r="F258" s="120" t="n">
        <x:f>IF(E258="Implementado",1,IF(E258="Parcial",0.5,0))</x:f>
        <x:v>0.5</x:v>
      </x:c>
      <x:c r="G258" s="119" t="str">
        <x:v>src/nutri_app/ui/pages/appointments_page.py; src/nutri_app/repositories/appointment_repository.py; tests/test_appointment_repository.py</x:v>
      </x:c>
      <x:c r="H258" s="119" t="str">
        <x:v>Faltam visões calendário diária/semanal/mensal, duração/local/modalidade/valor completos, recorrência, conflitos, espera, lembretes e calendário externo.</x:v>
      </x:c>
      <x:c r="I258" s="119" t="str">
        <x:v>P1</x:v>
      </x:c>
      <x:c r="J258" s="119" t="str">
        <x:v>Média</x:v>
      </x:c>
      <x:c r="K258" s="1"/>
    </x:row>
    <x:row r="259" ht="36" hidden="0" customHeight="1">
      <x:c r="A259" s="119" t="str">
        <x:v>RF-M31-04</x:v>
      </x:c>
      <x:c r="B259" s="119" t="str">
        <x:v>Funcional</x:v>
      </x:c>
      <x:c r="C259" s="119" t="str">
        <x:v>AGENDA</x:v>
      </x:c>
      <x:c r="D259" s="119" t="str">
        <x:v>Recorrência, bloqueios de horário, intervalos, lista de espera e conflito de agenda.</x:v>
      </x:c>
      <x:c r="E259" s="119" t="str">
        <x:v>Parcial</x:v>
      </x:c>
      <x:c r="F259" s="120" t="n">
        <x:f>IF(E259="Implementado",1,IF(E259="Parcial",0.5,0))</x:f>
        <x:v>0.5</x:v>
      </x:c>
      <x:c r="G259" s="119" t="str">
        <x:v>src/nutri_app/ui/pages/appointments_page.py; src/nutri_app/repositories/appointment_repository.py; tests/test_appointment_repository.py</x:v>
      </x:c>
      <x:c r="H259" s="119" t="str">
        <x:v>Faltam visões calendário diária/semanal/mensal, duração/local/modalidade/valor completos, recorrência, conflitos, espera, lembretes e calendário externo.</x:v>
      </x:c>
      <x:c r="I259" s="119" t="str">
        <x:v>P1</x:v>
      </x:c>
      <x:c r="J259" s="119" t="str">
        <x:v>Média</x:v>
      </x:c>
      <x:c r="K259" s="1"/>
    </x:row>
    <x:row r="260" ht="36" hidden="0" customHeight="1">
      <x:c r="A260" s="119" t="str">
        <x:v>RF-M31-05</x:v>
      </x:c>
      <x:c r="B260" s="119" t="str">
        <x:v>Funcional</x:v>
      </x:c>
      <x:c r="C260" s="119" t="str">
        <x:v>AGENDA</x:v>
      </x:c>
      <x:c r="D260" s="119" t="str">
        <x:v>Lembretes e confirmação por canais configurados, com consentimento e histórico de envio.</x:v>
      </x:c>
      <x:c r="E260" s="119" t="str">
        <x:v>Não identificado</x:v>
      </x:c>
      <x:c r="F260" s="120" t="n">
        <x:f>IF(E260="Implementado",1,IF(E260="Parcial",0.5,0))</x:f>
        <x:v>0</x:v>
      </x:c>
      <x:c r="G260" s="119" t="str">
        <x:v>src/nutri_app/ui/pages/appointments_page.py; src/nutri_app/repositories/appointment_repository.py; tests/test_appointment_repository.py</x:v>
      </x:c>
      <x:c r="H260" s="119" t="str">
        <x:v>Não foi identificada evidência suficiente para este requisito. Faltam visões calendário diária/semanal/mensal, duração/local/modalidade/valor completos, recorrência, conflitos, espera, lembretes e calendário externo.</x:v>
      </x:c>
      <x:c r="I260" s="119" t="str">
        <x:v>P1</x:v>
      </x:c>
      <x:c r="J260" s="119" t="str">
        <x:v>Média</x:v>
      </x:c>
      <x:c r="K260" s="1"/>
    </x:row>
    <x:row r="261" ht="36" hidden="0" customHeight="1">
      <x:c r="A261" s="119" t="str">
        <x:v>RF-M31-06</x:v>
      </x:c>
      <x:c r="B261" s="119" t="str">
        <x:v>Funcional</x:v>
      </x:c>
      <x:c r="C261" s="119" t="str">
        <x:v>AGENDA</x:v>
      </x:c>
      <x:c r="D261" s="119" t="str">
        <x:v>Atalhos para prontuário, atendimento, evolução, recebimento e agendamento de retorno.</x:v>
      </x:c>
      <x:c r="E261" s="119" t="str">
        <x:v>Parcial</x:v>
      </x:c>
      <x:c r="F261" s="120" t="n">
        <x:f>IF(E261="Implementado",1,IF(E261="Parcial",0.5,0))</x:f>
        <x:v>0.5</x:v>
      </x:c>
      <x:c r="G261" s="119" t="str">
        <x:v>src/nutri_app/ui/pages/appointments_page.py; src/nutri_app/repositories/appointment_repository.py; tests/test_appointment_repository.py</x:v>
      </x:c>
      <x:c r="H261" s="119" t="str">
        <x:v>Faltam visões calendário diária/semanal/mensal, duração/local/modalidade/valor completos, recorrência, conflitos, espera, lembretes e calendário externo.</x:v>
      </x:c>
      <x:c r="I261" s="119" t="str">
        <x:v>P1</x:v>
      </x:c>
      <x:c r="J261" s="119" t="str">
        <x:v>Média</x:v>
      </x:c>
      <x:c r="K261" s="1"/>
    </x:row>
    <x:row r="262" ht="36" hidden="0" customHeight="1">
      <x:c r="A262" s="119" t="str">
        <x:v>RF-M31-07</x:v>
      </x:c>
      <x:c r="B262" s="119" t="str">
        <x:v>Funcional</x:v>
      </x:c>
      <x:c r="C262" s="119" t="str">
        <x:v>AGENDA</x:v>
      </x:c>
      <x:c r="D262" s="119" t="str">
        <x:v>Sincronização opcional com calendários externos e tratamento de conflitos.</x:v>
      </x:c>
      <x:c r="E262" s="119" t="str">
        <x:v>Parcial</x:v>
      </x:c>
      <x:c r="F262" s="120" t="n">
        <x:f>IF(E262="Implementado",1,IF(E262="Parcial",0.5,0))</x:f>
        <x:v>0.5</x:v>
      </x:c>
      <x:c r="G262" s="119" t="str">
        <x:v>src/nutri_app/ui/pages/appointments_page.py; src/nutri_app/repositories/appointment_repository.py; tests/test_appointment_repository.py</x:v>
      </x:c>
      <x:c r="H262" s="119" t="str">
        <x:v>Faltam visões calendário diária/semanal/mensal, duração/local/modalidade/valor completos, recorrência, conflitos, espera, lembretes e calendário externo.</x:v>
      </x:c>
      <x:c r="I262" s="119" t="str">
        <x:v>P1</x:v>
      </x:c>
      <x:c r="J262" s="119" t="str">
        <x:v>Média</x:v>
      </x:c>
      <x:c r="K262" s="1"/>
    </x:row>
    <x:row r="263" ht="36" hidden="0" customHeight="1">
      <x:c r="A263" s="119" t="str">
        <x:v>RN-M31-01</x:v>
      </x:c>
      <x:c r="B263" s="119" t="str">
        <x:v>Regra de negócio</x:v>
      </x:c>
      <x:c r="C263" s="119" t="str">
        <x:v>AGENDA</x:v>
      </x:c>
      <x:c r="D263" s="119" t="str">
        <x:v>Não duplicar cadastro de paciente nem expor informação clínica em mensagens de agenda.</x:v>
      </x:c>
      <x:c r="E263" s="119" t="str">
        <x:v>Parcial</x:v>
      </x:c>
      <x:c r="F263" s="120" t="n">
        <x:f>IF(E263="Implementado",1,IF(E263="Parcial",0.5,0))</x:f>
        <x:v>0.5</x:v>
      </x:c>
      <x:c r="G263" s="119" t="str">
        <x:v>src/nutri_app/ui/pages/appointments_page.py; src/nutri_app/repositories/appointment_repository.py; tests/test_appointment_repository.py</x:v>
      </x:c>
      <x:c r="H263" s="119" t="str">
        <x:v>Faltam visões calendário diária/semanal/mensal, duração/local/modalidade/valor completos, recorrência, conflitos, espera, lembretes e calendário externo.</x:v>
      </x:c>
      <x:c r="I263" s="119" t="str">
        <x:v>P1</x:v>
      </x:c>
      <x:c r="J263" s="119" t="str">
        <x:v>Média</x:v>
      </x:c>
      <x:c r="K263" s="1"/>
    </x:row>
    <x:row r="264" ht="36" hidden="0" customHeight="1">
      <x:c r="A264" s="119" t="str">
        <x:v>RN-M31-02</x:v>
      </x:c>
      <x:c r="B264" s="119" t="str">
        <x:v>Regra de negócio</x:v>
      </x:c>
      <x:c r="C264" s="119" t="str">
        <x:v>AGENDA</x:v>
      </x:c>
      <x:c r="D264" s="119" t="str">
        <x:v>Toda alteração de horário/status deve preservar autoria e histórico.</x:v>
      </x:c>
      <x:c r="E264" s="119" t="str">
        <x:v>Parcial</x:v>
      </x:c>
      <x:c r="F264" s="120" t="n">
        <x:f>IF(E264="Implementado",1,IF(E264="Parcial",0.5,0))</x:f>
        <x:v>0.5</x:v>
      </x:c>
      <x:c r="G264" s="119" t="str">
        <x:v>src/nutri_app/ui/pages/appointments_page.py; src/nutri_app/repositories/appointment_repository.py; tests/test_appointment_repository.py</x:v>
      </x:c>
      <x:c r="H264" s="119" t="str">
        <x:v>Faltam visões calendário diária/semanal/mensal, duração/local/modalidade/valor completos, recorrência, conflitos, espera, lembretes e calendário externo.</x:v>
      </x:c>
      <x:c r="I264" s="119" t="str">
        <x:v>P1</x:v>
      </x:c>
      <x:c r="J264" s="119" t="str">
        <x:v>Média</x:v>
      </x:c>
      <x:c r="K264" s="1"/>
    </x:row>
    <x:row r="265" ht="36" hidden="0" customHeight="1">
      <x:c r="A265" s="119" t="str">
        <x:v>RF-M32-01</x:v>
      </x:c>
      <x:c r="B265" s="119" t="str">
        <x:v>Funcional</x:v>
      </x:c>
      <x:c r="C265" s="119" t="str">
        <x:v>FINANCEIRO</x:v>
      </x:c>
      <x:c r="D265" s="119" t="str">
        <x:v>Lançamentos de receita/despesa com competência, vencimento, pagamento, categoria, centro e observação.</x:v>
      </x:c>
      <x:c r="E265" s="119" t="str">
        <x:v>Implementado</x:v>
      </x:c>
      <x:c r="F265" s="120" t="n">
        <x:f>IF(E265="Implementado",1,IF(E265="Parcial",0.5,0))</x:f>
        <x:v>1</x:v>
      </x:c>
      <x:c r="G265" s="119" t="str">
        <x:v>src/nutri_app/ui/pages/finance_page.py; src/nutri_app/repositories/finance_repository.py; src/nutri_app/services/finance.py; tests/test_finance.py</x:v>
      </x:c>
      <x:c r="H265" s="119" t="str">
        <x:v>Cobertura identificada no escopo atual; ainda requer validação de uso real quando aplicável.</x:v>
      </x:c>
      <x:c r="I265" s="119" t="str">
        <x:v>—</x:v>
      </x:c>
      <x:c r="J265" s="119" t="str">
        <x:v>Alta</x:v>
      </x:c>
      <x:c r="K265" s="1"/>
    </x:row>
    <x:row r="266" ht="36" hidden="0" customHeight="1">
      <x:c r="A266" s="119" t="str">
        <x:v>RF-M32-02</x:v>
      </x:c>
      <x:c r="B266" s="119" t="str">
        <x:v>Funcional</x:v>
      </x:c>
      <x:c r="C266" s="119" t="str">
        <x:v>FINANCEIRO</x:v>
      </x:c>
      <x:c r="D266" s="119" t="str">
        <x:v>Vínculo opcional com paciente, consulta, profissional, pacote, assinatura e serviço.</x:v>
      </x:c>
      <x:c r="E266" s="119" t="str">
        <x:v>Parcial</x:v>
      </x:c>
      <x:c r="F266" s="120" t="n">
        <x:f>IF(E266="Implementado",1,IF(E266="Parcial",0.5,0))</x:f>
        <x:v>0.5</x:v>
      </x:c>
      <x:c r="G266" s="119" t="str">
        <x:v>src/nutri_app/ui/pages/finance_page.py; src/nutri_app/repositories/finance_repository.py; src/nutri_app/services/finance.py; tests/test_finance.py</x:v>
      </x:c>
      <x:c r="H266" s="119" t="str">
        <x:v>Faltam centro/competência separados, profissional/serviço/pacotes/assinaturas/parcelas, conciliação, exportação e comprovantes.</x:v>
      </x:c>
      <x:c r="I266" s="119" t="str">
        <x:v>P1</x:v>
      </x:c>
      <x:c r="J266" s="119" t="str">
        <x:v>Média</x:v>
      </x:c>
      <x:c r="K266" s="1"/>
    </x:row>
    <x:row r="267" ht="36" hidden="0" customHeight="1">
      <x:c r="A267" s="119" t="str">
        <x:v>RF-M32-03</x:v>
      </x:c>
      <x:c r="B267" s="119" t="str">
        <x:v>Funcional</x:v>
      </x:c>
      <x:c r="C267" s="119" t="str">
        <x:v>FINANCEIRO</x:v>
      </x:c>
      <x:c r="D267" s="119" t="str">
        <x:v>Status pendente, recebido, vencido, cancelado, estornado e conciliado.</x:v>
      </x:c>
      <x:c r="E267" s="119" t="str">
        <x:v>Parcial</x:v>
      </x:c>
      <x:c r="F267" s="120" t="n">
        <x:f>IF(E267="Implementado",1,IF(E267="Parcial",0.5,0))</x:f>
        <x:v>0.5</x:v>
      </x:c>
      <x:c r="G267" s="119" t="str">
        <x:v>src/nutri_app/ui/pages/finance_page.py; src/nutri_app/repositories/finance_repository.py; src/nutri_app/services/finance.py; tests/test_finance.py</x:v>
      </x:c>
      <x:c r="H267" s="119" t="str">
        <x:v>Faltam centro/competência separados, profissional/serviço/pacotes/assinaturas/parcelas, conciliação, exportação e comprovantes.</x:v>
      </x:c>
      <x:c r="I267" s="119" t="str">
        <x:v>P1</x:v>
      </x:c>
      <x:c r="J267" s="119" t="str">
        <x:v>Média</x:v>
      </x:c>
      <x:c r="K267" s="1"/>
    </x:row>
    <x:row r="268" ht="36" hidden="0" customHeight="1">
      <x:c r="A268" s="119" t="str">
        <x:v>RF-M32-04</x:v>
      </x:c>
      <x:c r="B268" s="119" t="str">
        <x:v>Funcional</x:v>
      </x:c>
      <x:c r="C268" s="119" t="str">
        <x:v>FINANCEIRO</x:v>
      </x:c>
      <x:c r="D268" s="119" t="str">
        <x:v>Formas dinheiro, PIX, cartão, boleto, transferência e integrações configuradas.</x:v>
      </x:c>
      <x:c r="E268" s="119" t="str">
        <x:v>Parcial</x:v>
      </x:c>
      <x:c r="F268" s="120" t="n">
        <x:f>IF(E268="Implementado",1,IF(E268="Parcial",0.5,0))</x:f>
        <x:v>0.5</x:v>
      </x:c>
      <x:c r="G268" s="119" t="str">
        <x:v>src/nutri_app/ui/pages/finance_page.py; src/nutri_app/repositories/finance_repository.py; src/nutri_app/services/finance.py; tests/test_finance.py</x:v>
      </x:c>
      <x:c r="H268" s="119" t="str">
        <x:v>Faltam centro/competência separados, profissional/serviço/pacotes/assinaturas/parcelas, conciliação, exportação e comprovantes.</x:v>
      </x:c>
      <x:c r="I268" s="119" t="str">
        <x:v>P1</x:v>
      </x:c>
      <x:c r="J268" s="119" t="str">
        <x:v>Média</x:v>
      </x:c>
      <x:c r="K268" s="1"/>
    </x:row>
    <x:row r="269" ht="36" hidden="0" customHeight="1">
      <x:c r="A269" s="119" t="str">
        <x:v>RF-M32-05</x:v>
      </x:c>
      <x:c r="B269" s="119" t="str">
        <x:v>Funcional</x:v>
      </x:c>
      <x:c r="C269" s="119" t="str">
        <x:v>FINANCEIRO</x:v>
      </x:c>
      <x:c r="D269" s="119" t="str">
        <x:v>Pacotes, créditos, recorrência, assinaturas, parcelas, descontos e inadimplência.</x:v>
      </x:c>
      <x:c r="E269" s="119" t="str">
        <x:v>Parcial</x:v>
      </x:c>
      <x:c r="F269" s="120" t="n">
        <x:f>IF(E269="Implementado",1,IF(E269="Parcial",0.5,0))</x:f>
        <x:v>0.5</x:v>
      </x:c>
      <x:c r="G269" s="119" t="str">
        <x:v>src/nutri_app/ui/pages/finance_page.py; src/nutri_app/repositories/finance_repository.py; src/nutri_app/services/finance.py; tests/test_finance.py</x:v>
      </x:c>
      <x:c r="H269" s="119" t="str">
        <x:v>Faltam centro/competência separados, profissional/serviço/pacotes/assinaturas/parcelas, conciliação, exportação e comprovantes.</x:v>
      </x:c>
      <x:c r="I269" s="119" t="str">
        <x:v>P1</x:v>
      </x:c>
      <x:c r="J269" s="119" t="str">
        <x:v>Média</x:v>
      </x:c>
      <x:c r="K269" s="1"/>
    </x:row>
    <x:row r="270" ht="36" hidden="0" customHeight="1">
      <x:c r="A270" s="119" t="str">
        <x:v>RF-M32-06</x:v>
      </x:c>
      <x:c r="B270" s="119" t="str">
        <x:v>Funcional</x:v>
      </x:c>
      <x:c r="C270" s="119" t="str">
        <x:v>FINANCEIRO</x:v>
      </x:c>
      <x:c r="D270" s="119" t="str">
        <x:v>Cards, fluxo de caixa, contas a receber, relatórios, exportação e comprovantes.</x:v>
      </x:c>
      <x:c r="E270" s="119" t="str">
        <x:v>Parcial</x:v>
      </x:c>
      <x:c r="F270" s="120" t="n">
        <x:f>IF(E270="Implementado",1,IF(E270="Parcial",0.5,0))</x:f>
        <x:v>0.5</x:v>
      </x:c>
      <x:c r="G270" s="119" t="str">
        <x:v>src/nutri_app/ui/pages/finance_page.py; src/nutri_app/repositories/finance_repository.py; src/nutri_app/services/finance.py; tests/test_finance.py</x:v>
      </x:c>
      <x:c r="H270" s="119" t="str">
        <x:v>Faltam centro/competência separados, profissional/serviço/pacotes/assinaturas/parcelas, conciliação, exportação e comprovantes.</x:v>
      </x:c>
      <x:c r="I270" s="119" t="str">
        <x:v>P1</x:v>
      </x:c>
      <x:c r="J270" s="119" t="str">
        <x:v>Média</x:v>
      </x:c>
      <x:c r="K270" s="1"/>
    </x:row>
    <x:row r="271" ht="36" hidden="0" customHeight="1">
      <x:c r="A271" s="119" t="str">
        <x:v>RN-M32-01</x:v>
      </x:c>
      <x:c r="B271" s="119" t="str">
        <x:v>Regra de negócio</x:v>
      </x:c>
      <x:c r="C271" s="119" t="str">
        <x:v>FINANCEIRO</x:v>
      </x:c>
      <x:c r="D271" s="119" t="str">
        <x:v>Dados financeiros e clínicos possuem permissões separadas.</x:v>
      </x:c>
      <x:c r="E271" s="119" t="str">
        <x:v>Implementado</x:v>
      </x:c>
      <x:c r="F271" s="120" t="n">
        <x:f>IF(E271="Implementado",1,IF(E271="Parcial",0.5,0))</x:f>
        <x:v>1</x:v>
      </x:c>
      <x:c r="G271" s="119" t="str">
        <x:v>src/nutri_app/ui/pages/finance_page.py; src/nutri_app/repositories/finance_repository.py; src/nutri_app/services/finance.py; tests/test_finance.py</x:v>
      </x:c>
      <x:c r="H271" s="119" t="str">
        <x:v>Cobertura identificada no escopo atual; ainda requer validação de uso real quando aplicável.</x:v>
      </x:c>
      <x:c r="I271" s="119" t="str">
        <x:v>—</x:v>
      </x:c>
      <x:c r="J271" s="119" t="str">
        <x:v>Alta</x:v>
      </x:c>
      <x:c r="K271" s="1"/>
    </x:row>
    <x:row r="272" ht="36" hidden="0" customHeight="1">
      <x:c r="A272" s="119" t="str">
        <x:v>RN-M32-02</x:v>
      </x:c>
      <x:c r="B272" s="119" t="str">
        <x:v>Regra de negócio</x:v>
      </x:c>
      <x:c r="C272" s="119" t="str">
        <x:v>FINANCEIRO</x:v>
      </x:c>
      <x:c r="D272" s="119" t="str">
        <x:v>Estorno e exclusão de lançamento devem ser auditados e não apagar histórico de recebimento.</x:v>
      </x:c>
      <x:c r="E272" s="119" t="str">
        <x:v>Parcial</x:v>
      </x:c>
      <x:c r="F272" s="120" t="n">
        <x:f>IF(E272="Implementado",1,IF(E272="Parcial",0.5,0))</x:f>
        <x:v>0.5</x:v>
      </x:c>
      <x:c r="G272" s="119" t="str">
        <x:v>src/nutri_app/ui/pages/finance_page.py; src/nutri_app/repositories/finance_repository.py; src/nutri_app/services/finance.py; tests/test_finance.py</x:v>
      </x:c>
      <x:c r="H272" s="119" t="str">
        <x:v>Faltam centro/competência separados, profissional/serviço/pacotes/assinaturas/parcelas, conciliação, exportação e comprovantes.</x:v>
      </x:c>
      <x:c r="I272" s="119" t="str">
        <x:v>P1</x:v>
      </x:c>
      <x:c r="J272" s="119" t="str">
        <x:v>Média</x:v>
      </x:c>
      <x:c r="K272" s="1"/>
    </x:row>
    <x:row r="273" ht="36" hidden="0" customHeight="1">
      <x:c r="A273" s="119" t="str">
        <x:v>RF-M33-01</x:v>
      </x:c>
      <x:c r="B273" s="119" t="str">
        <x:v>Funcional</x:v>
      </x:c>
      <x:c r="C273" s="119" t="str">
        <x:v>PORTAL DO PACIENTE</x:v>
      </x:c>
      <x:c r="D273" s="119" t="str">
        <x:v>Primeiro acesso, confirmação de identidade, senha, recuperação, termos, consentimento e autenticação segura.</x:v>
      </x:c>
      <x:c r="E273" s="119" t="str">
        <x:v>Parcial</x:v>
      </x:c>
      <x:c r="F273" s="120" t="n">
        <x:f>IF(E273="Implementado",1,IF(E273="Parcial",0.5,0))</x:f>
        <x:v>0.5</x:v>
      </x:c>
      <x:c r="G273" s="119" t="str">
        <x:v>src/nutri_app/services/patient_portal_server.py; src/nutri_app/ui/resources/patient_portal.html; tests/test_patient_portal_server.py; src/nutri_app/ui/pages/patient_app_page.py</x:v>
      </x:c>
      <x:c r="H273" s="119" t="str">
        <x:v>Faltam senha/recuperação/termos robustos, expiração e revogação de sessões, agenda/documentos completos, uploads, mensagens, notificações e dispositivos.</x:v>
      </x:c>
      <x:c r="I273" s="119" t="str">
        <x:v>P0</x:v>
      </x:c>
      <x:c r="J273" s="119" t="str">
        <x:v>Média</x:v>
      </x:c>
      <x:c r="K273" s="1"/>
    </x:row>
    <x:row r="274" ht="36" hidden="0" customHeight="1">
      <x:c r="A274" s="119" t="str">
        <x:v>RF-M33-02</x:v>
      </x:c>
      <x:c r="B274" s="119" t="str">
        <x:v>Funcional</x:v>
      </x:c>
      <x:c r="C274" s="119" t="str">
        <x:v>PORTAL DO PACIENTE</x:v>
      </x:c>
      <x:c r="D274" s="119" t="str">
        <x:v>Visualização de agenda, planos, receitas, orientações, documentos e publicações liberadas.</x:v>
      </x:c>
      <x:c r="E274" s="119" t="str">
        <x:v>Parcial</x:v>
      </x:c>
      <x:c r="F274" s="120" t="n">
        <x:f>IF(E274="Implementado",1,IF(E274="Parcial",0.5,0))</x:f>
        <x:v>0.5</x:v>
      </x:c>
      <x:c r="G274" s="119" t="str">
        <x:v>src/nutri_app/services/patient_portal_server.py; src/nutri_app/ui/resources/patient_portal.html; tests/test_patient_portal_server.py; src/nutri_app/ui/pages/patient_app_page.py</x:v>
      </x:c>
      <x:c r="H274" s="119" t="str">
        <x:v>Faltam senha/recuperação/termos robustos, expiração e revogação de sessões, agenda/documentos completos, uploads, mensagens, notificações e dispositivos.</x:v>
      </x:c>
      <x:c r="I274" s="119" t="str">
        <x:v>P0</x:v>
      </x:c>
      <x:c r="J274" s="119" t="str">
        <x:v>Média</x:v>
      </x:c>
      <x:c r="K274" s="1"/>
    </x:row>
    <x:row r="275" ht="36" hidden="0" customHeight="1">
      <x:c r="A275" s="119" t="str">
        <x:v>RF-M33-03</x:v>
      </x:c>
      <x:c r="B275" s="119" t="str">
        <x:v>Funcional</x:v>
      </x:c>
      <x:c r="C275" s="119" t="str">
        <x:v>PORTAL DO PACIENTE</x:v>
      </x:c>
      <x:c r="D275" s="119" t="str">
        <x:v>Registro de peso, medidas autorizadas, adesão, aceitação, consumo hídrico, sintomas, fome/saciedade e humor.</x:v>
      </x:c>
      <x:c r="E275" s="119" t="str">
        <x:v>Parcial</x:v>
      </x:c>
      <x:c r="F275" s="120" t="n">
        <x:f>IF(E275="Implementado",1,IF(E275="Parcial",0.5,0))</x:f>
        <x:v>0.5</x:v>
      </x:c>
      <x:c r="G275" s="119" t="str">
        <x:v>src/nutri_app/services/patient_portal_server.py; src/nutri_app/ui/resources/patient_portal.html; tests/test_patient_portal_server.py; src/nutri_app/ui/pages/patient_app_page.py</x:v>
      </x:c>
      <x:c r="H275" s="119" t="str">
        <x:v>Faltam senha/recuperação/termos robustos, expiração e revogação de sessões, agenda/documentos completos, uploads, mensagens, notificações e dispositivos.</x:v>
      </x:c>
      <x:c r="I275" s="119" t="str">
        <x:v>P0</x:v>
      </x:c>
      <x:c r="J275" s="119" t="str">
        <x:v>Média</x:v>
      </x:c>
      <x:c r="K275" s="1"/>
    </x:row>
    <x:row r="276" ht="36" hidden="0" customHeight="1">
      <x:c r="A276" s="119" t="str">
        <x:v>RF-M33-04</x:v>
      </x:c>
      <x:c r="B276" s="119" t="str">
        <x:v>Funcional</x:v>
      </x:c>
      <x:c r="C276" s="119" t="str">
        <x:v>PORTAL DO PACIENTE</x:v>
      </x:c>
      <x:c r="D276" s="119" t="str">
        <x:v>Envio autorizado de fotos/arquivos e comunicação com a equipe, com moderação e histórico.</x:v>
      </x:c>
      <x:c r="E276" s="119" t="str">
        <x:v>Não identificado</x:v>
      </x:c>
      <x:c r="F276" s="120" t="n">
        <x:f>IF(E276="Implementado",1,IF(E276="Parcial",0.5,0))</x:f>
        <x:v>0</x:v>
      </x:c>
      <x:c r="G276" s="119" t="str">
        <x:v>src/nutri_app/services/patient_portal_server.py; src/nutri_app/ui/resources/patient_portal.html; tests/test_patient_portal_server.py; src/nutri_app/ui/pages/patient_app_page.py</x:v>
      </x:c>
      <x:c r="H276" s="119" t="str">
        <x:v>Não foi identificada evidência suficiente para este requisito. Faltam senha/recuperação/termos robustos, expiração e revogação de sessões, agenda/documentos completos, uploads, mensagens, notificações e dispositivos.</x:v>
      </x:c>
      <x:c r="I276" s="119" t="str">
        <x:v>P0</x:v>
      </x:c>
      <x:c r="J276" s="119" t="str">
        <x:v>Média</x:v>
      </x:c>
      <x:c r="K276" s="1"/>
    </x:row>
    <x:row r="277" ht="36" hidden="0" customHeight="1">
      <x:c r="A277" s="119" t="str">
        <x:v>RF-M33-05</x:v>
      </x:c>
      <x:c r="B277" s="119" t="str">
        <x:v>Funcional</x:v>
      </x:c>
      <x:c r="C277" s="119" t="str">
        <x:v>PORTAL DO PACIENTE</x:v>
      </x:c>
      <x:c r="D277" s="119" t="str">
        <x:v>Lembretes, notificações, confirmação de consultas e acompanhamento de pacotes/pagamentos quando habilitado.</x:v>
      </x:c>
      <x:c r="E277" s="119" t="str">
        <x:v>Não identificado</x:v>
      </x:c>
      <x:c r="F277" s="120" t="n">
        <x:f>IF(E277="Implementado",1,IF(E277="Parcial",0.5,0))</x:f>
        <x:v>0</x:v>
      </x:c>
      <x:c r="G277" s="119" t="str">
        <x:v>src/nutri_app/services/patient_portal_server.py; src/nutri_app/ui/resources/patient_portal.html; tests/test_patient_portal_server.py; src/nutri_app/ui/pages/patient_app_page.py</x:v>
      </x:c>
      <x:c r="H277" s="119" t="str">
        <x:v>Não foi identificada evidência suficiente para este requisito. Faltam senha/recuperação/termos robustos, expiração e revogação de sessões, agenda/documentos completos, uploads, mensagens, notificações e dispositivos.</x:v>
      </x:c>
      <x:c r="I277" s="119" t="str">
        <x:v>P0</x:v>
      </x:c>
      <x:c r="J277" s="119" t="str">
        <x:v>Média</x:v>
      </x:c>
      <x:c r="K277" s="1"/>
    </x:row>
    <x:row r="278" ht="36" hidden="0" customHeight="1">
      <x:c r="A278" s="119" t="str">
        <x:v>RF-M33-06</x:v>
      </x:c>
      <x:c r="B278" s="119" t="str">
        <x:v>Funcional</x:v>
      </x:c>
      <x:c r="C278" s="119" t="str">
        <x:v>PORTAL DO PACIENTE</x:v>
      </x:c>
      <x:c r="D278" s="119" t="str">
        <x:v>Sincronização com o prontuário, identificação clara da origem paciente e revisão profissional.</x:v>
      </x:c>
      <x:c r="E278" s="119" t="str">
        <x:v>Parcial</x:v>
      </x:c>
      <x:c r="F278" s="120" t="n">
        <x:f>IF(E278="Implementado",1,IF(E278="Parcial",0.5,0))</x:f>
        <x:v>0.5</x:v>
      </x:c>
      <x:c r="G278" s="119" t="str">
        <x:v>src/nutri_app/services/patient_portal_server.py; src/nutri_app/ui/resources/patient_portal.html; tests/test_patient_portal_server.py; src/nutri_app/ui/pages/patient_app_page.py</x:v>
      </x:c>
      <x:c r="H278" s="119" t="str">
        <x:v>Faltam senha/recuperação/termos robustos, expiração e revogação de sessões, agenda/documentos completos, uploads, mensagens, notificações e dispositivos.</x:v>
      </x:c>
      <x:c r="I278" s="119" t="str">
        <x:v>P0</x:v>
      </x:c>
      <x:c r="J278" s="119" t="str">
        <x:v>Média</x:v>
      </x:c>
      <x:c r="K278" s="1"/>
    </x:row>
    <x:row r="279" ht="36" hidden="0" customHeight="1">
      <x:c r="A279" s="119" t="str">
        <x:v>RN-M33-01</x:v>
      </x:c>
      <x:c r="B279" s="119" t="str">
        <x:v>Regra de negócio</x:v>
      </x:c>
      <x:c r="C279" s="119" t="str">
        <x:v>PORTAL DO PACIENTE</x:v>
      </x:c>
      <x:c r="D279" s="119" t="str">
        <x:v>Somente dados publicados ou autorizados podem ser exibidos; o paciente não acessa registros internos da equipe.</x:v>
      </x:c>
      <x:c r="E279" s="119" t="str">
        <x:v>Implementado</x:v>
      </x:c>
      <x:c r="F279" s="120" t="n">
        <x:f>IF(E279="Implementado",1,IF(E279="Parcial",0.5,0))</x:f>
        <x:v>1</x:v>
      </x:c>
      <x:c r="G279" s="119" t="str">
        <x:v>src/nutri_app/services/patient_portal_server.py; src/nutri_app/ui/resources/patient_portal.html; tests/test_patient_portal_server.py; src/nutri_app/ui/pages/patient_app_page.py</x:v>
      </x:c>
      <x:c r="H279" s="119" t="str">
        <x:v>Cobertura identificada no escopo atual; ainda requer validação de uso real quando aplicável.</x:v>
      </x:c>
      <x:c r="I279" s="119" t="str">
        <x:v>—</x:v>
      </x:c>
      <x:c r="J279" s="119" t="str">
        <x:v>Alta</x:v>
      </x:c>
      <x:c r="K279" s="1"/>
    </x:row>
    <x:row r="280" ht="36" hidden="0" customHeight="1">
      <x:c r="A280" s="119" t="str">
        <x:v>RN-M33-02</x:v>
      </x:c>
      <x:c r="B280" s="119" t="str">
        <x:v>Regra de negócio</x:v>
      </x:c>
      <x:c r="C280" s="119" t="str">
        <x:v>PORTAL DO PACIENTE</x:v>
      </x:c>
      <x:c r="D280" s="119" t="str">
        <x:v>Sessões, dispositivos, consentimentos e revogações devem ser gerenciáveis e auditáveis.</x:v>
      </x:c>
      <x:c r="E280" s="119" t="str">
        <x:v>Parcial</x:v>
      </x:c>
      <x:c r="F280" s="120" t="n">
        <x:f>IF(E280="Implementado",1,IF(E280="Parcial",0.5,0))</x:f>
        <x:v>0.5</x:v>
      </x:c>
      <x:c r="G280" s="119" t="str">
        <x:v>src/nutri_app/services/patient_portal_server.py; src/nutri_app/ui/resources/patient_portal.html; tests/test_patient_portal_server.py; src/nutri_app/ui/pages/patient_app_page.py</x:v>
      </x:c>
      <x:c r="H280" s="119" t="str">
        <x:v>Faltam senha/recuperação/termos robustos, expiração e revogação de sessões, agenda/documentos completos, uploads, mensagens, notificações e dispositivos.</x:v>
      </x:c>
      <x:c r="I280" s="119" t="str">
        <x:v>P0</x:v>
      </x:c>
      <x:c r="J280" s="119" t="str">
        <x:v>Média</x:v>
      </x:c>
      <x:c r="K280" s="1"/>
    </x:row>
    <x:row r="281" ht="36" hidden="0" customHeight="1">
      <x:c r="A281" s="119" t="str">
        <x:v>RF-M34-01</x:v>
      </x:c>
      <x:c r="B281" s="119" t="str">
        <x:v>Funcional</x:v>
      </x:c>
      <x:c r="C281" s="119" t="str">
        <x:v>ADMINISTRAÇÃO</x:v>
      </x:c>
      <x:c r="D281" s="119" t="str">
        <x:v>Painel de usuários, permissões, segurança, backup, LGPD, logs, configurações, integrações e status do sistema.</x:v>
      </x:c>
      <x:c r="E281" s="119" t="str">
        <x:v>Parcial</x:v>
      </x:c>
      <x:c r="F281" s="120" t="n">
        <x:f>IF(E281="Implementado",1,IF(E281="Parcial",0.5,0))</x:f>
        <x:v>0.5</x:v>
      </x:c>
      <x:c r="G281" s="119" t="str">
        <x:v>src/nutri_app/ui/pages/users_page.py; src/nutri_app/ui/pages/settings_page.py; src/nutri_app/ui/pages/deployment_page.py; src/nutri_app/ui/pages/clinical_governance_page.py</x:v>
      </x:c>
      <x:c r="H281" s="119" t="str">
        <x:v>Falta painel administrativo unificado, monitoramento de banco/filas/falhas, fluxos de aprovação e exportação administrativa/auditoria completa.</x:v>
      </x:c>
      <x:c r="I281" s="119" t="str">
        <x:v>P0</x:v>
      </x:c>
      <x:c r="J281" s="119" t="str">
        <x:v>Média</x:v>
      </x:c>
      <x:c r="K281" s="1"/>
    </x:row>
    <x:row r="282" ht="36" hidden="0" customHeight="1">
      <x:c r="A282" s="119" t="str">
        <x:v>RF-M34-02</x:v>
      </x:c>
      <x:c r="B282" s="119" t="str">
        <x:v>Funcional</x:v>
      </x:c>
      <x:c r="C282" s="119" t="str">
        <x:v>ADMINISTRAÇÃO</x:v>
      </x:c>
      <x:c r="D282" s="119" t="str">
        <x:v>Solicitações de acesso, correção, exportação, anonimização e retenção com fluxo de aprovação.</x:v>
      </x:c>
      <x:c r="E282" s="119" t="str">
        <x:v>Parcial</x:v>
      </x:c>
      <x:c r="F282" s="120" t="n">
        <x:f>IF(E282="Implementado",1,IF(E282="Parcial",0.5,0))</x:f>
        <x:v>0.5</x:v>
      </x:c>
      <x:c r="G282" s="119" t="str">
        <x:v>src/nutri_app/ui/pages/users_page.py; src/nutri_app/ui/pages/settings_page.py; src/nutri_app/ui/pages/deployment_page.py; src/nutri_app/ui/pages/clinical_governance_page.py</x:v>
      </x:c>
      <x:c r="H282" s="119" t="str">
        <x:v>Falta painel administrativo unificado, monitoramento de banco/filas/falhas, fluxos de aprovação e exportação administrativa/auditoria completa.</x:v>
      </x:c>
      <x:c r="I282" s="119" t="str">
        <x:v>P0</x:v>
      </x:c>
      <x:c r="J282" s="119" t="str">
        <x:v>Média</x:v>
      </x:c>
      <x:c r="K282" s="1"/>
    </x:row>
    <x:row r="283" ht="36" hidden="0" customHeight="1">
      <x:c r="A283" s="119" t="str">
        <x:v>RF-M34-03</x:v>
      </x:c>
      <x:c r="B283" s="119" t="str">
        <x:v>Funcional</x:v>
      </x:c>
      <x:c r="C283" s="119" t="str">
        <x:v>ADMINISTRAÇÃO</x:v>
      </x:c>
      <x:c r="D283" s="119" t="str">
        <x:v>Governança clínica de referências, versões, revisores, CRN, evidências e pendências de validação.</x:v>
      </x:c>
      <x:c r="E283" s="119" t="str">
        <x:v>Parcial</x:v>
      </x:c>
      <x:c r="F283" s="120" t="n">
        <x:f>IF(E283="Implementado",1,IF(E283="Parcial",0.5,0))</x:f>
        <x:v>0.5</x:v>
      </x:c>
      <x:c r="G283" s="119" t="str">
        <x:v>src/nutri_app/ui/pages/users_page.py; src/nutri_app/ui/pages/settings_page.py; src/nutri_app/ui/pages/deployment_page.py; src/nutri_app/ui/pages/clinical_governance_page.py</x:v>
      </x:c>
      <x:c r="H283" s="119" t="str">
        <x:v>Falta painel administrativo unificado, monitoramento de banco/filas/falhas, fluxos de aprovação e exportação administrativa/auditoria completa.</x:v>
      </x:c>
      <x:c r="I283" s="119" t="str">
        <x:v>P0</x:v>
      </x:c>
      <x:c r="J283" s="119" t="str">
        <x:v>Média</x:v>
      </x:c>
      <x:c r="K283" s="1"/>
    </x:row>
    <x:row r="284" ht="36" hidden="0" customHeight="1">
      <x:c r="A284" s="119" t="str">
        <x:v>RF-M34-04</x:v>
      </x:c>
      <x:c r="B284" s="119" t="str">
        <x:v>Funcional</x:v>
      </x:c>
      <x:c r="C284" s="119" t="str">
        <x:v>ADMINISTRAÇÃO</x:v>
      </x:c>
      <x:c r="D284" s="119" t="str">
        <x:v>Monitoramento de migrações, espaço, integridade do banco, backups, filas, integrações e falhas.</x:v>
      </x:c>
      <x:c r="E284" s="119" t="str">
        <x:v>Parcial</x:v>
      </x:c>
      <x:c r="F284" s="120" t="n">
        <x:f>IF(E284="Implementado",1,IF(E284="Parcial",0.5,0))</x:f>
        <x:v>0.5</x:v>
      </x:c>
      <x:c r="G284" s="119" t="str">
        <x:v>src/nutri_app/ui/pages/users_page.py; src/nutri_app/ui/pages/settings_page.py; src/nutri_app/ui/pages/deployment_page.py; src/nutri_app/ui/pages/clinical_governance_page.py</x:v>
      </x:c>
      <x:c r="H284" s="119" t="str">
        <x:v>Falta painel administrativo unificado, monitoramento de banco/filas/falhas, fluxos de aprovação e exportação administrativa/auditoria completa.</x:v>
      </x:c>
      <x:c r="I284" s="119" t="str">
        <x:v>P0</x:v>
      </x:c>
      <x:c r="J284" s="119" t="str">
        <x:v>Média</x:v>
      </x:c>
      <x:c r="K284" s="1"/>
    </x:row>
    <x:row r="285" ht="36" hidden="0" customHeight="1">
      <x:c r="A285" s="119" t="str">
        <x:v>RF-M34-05</x:v>
      </x:c>
      <x:c r="B285" s="119" t="str">
        <x:v>Funcional</x:v>
      </x:c>
      <x:c r="C285" s="119" t="str">
        <x:v>ADMINISTRAÇÃO</x:v>
      </x:c>
      <x:c r="D285" s="119" t="str">
        <x:v>Checklist de implantação e release com evidências técnicas, clínicas, jurídicas e operacionais.</x:v>
      </x:c>
      <x:c r="E285" s="119" t="str">
        <x:v>Implementado</x:v>
      </x:c>
      <x:c r="F285" s="120" t="n">
        <x:f>IF(E285="Implementado",1,IF(E285="Parcial",0.5,0))</x:f>
        <x:v>1</x:v>
      </x:c>
      <x:c r="G285" s="119" t="str">
        <x:v>src/nutri_app/ui/pages/users_page.py; src/nutri_app/ui/pages/settings_page.py; src/nutri_app/ui/pages/deployment_page.py; src/nutri_app/ui/pages/clinical_governance_page.py</x:v>
      </x:c>
      <x:c r="H285" s="119" t="str">
        <x:v>Cobertura identificada no escopo atual; ainda requer validação de uso real quando aplicável.</x:v>
      </x:c>
      <x:c r="I285" s="119" t="str">
        <x:v>—</x:v>
      </x:c>
      <x:c r="J285" s="119" t="str">
        <x:v>Alta</x:v>
      </x:c>
      <x:c r="K285" s="1"/>
    </x:row>
    <x:row r="286" ht="36" hidden="0" customHeight="1">
      <x:c r="A286" s="119" t="str">
        <x:v>RF-M34-06</x:v>
      </x:c>
      <x:c r="B286" s="119" t="str">
        <x:v>Funcional</x:v>
      </x:c>
      <x:c r="C286" s="119" t="str">
        <x:v>ADMINISTRAÇÃO</x:v>
      </x:c>
      <x:c r="D286" s="119" t="str">
        <x:v>Exportação de auditoria e relatórios administrativos conforme permissão.</x:v>
      </x:c>
      <x:c r="E286" s="119" t="str">
        <x:v>Parcial</x:v>
      </x:c>
      <x:c r="F286" s="120" t="n">
        <x:f>IF(E286="Implementado",1,IF(E286="Parcial",0.5,0))</x:f>
        <x:v>0.5</x:v>
      </x:c>
      <x:c r="G286" s="119" t="str">
        <x:v>src/nutri_app/ui/pages/users_page.py; src/nutri_app/ui/pages/settings_page.py; src/nutri_app/ui/pages/deployment_page.py; src/nutri_app/ui/pages/clinical_governance_page.py</x:v>
      </x:c>
      <x:c r="H286" s="119" t="str">
        <x:v>Falta painel administrativo unificado, monitoramento de banco/filas/falhas, fluxos de aprovação e exportação administrativa/auditoria completa.</x:v>
      </x:c>
      <x:c r="I286" s="119" t="str">
        <x:v>P0</x:v>
      </x:c>
      <x:c r="J286" s="119" t="str">
        <x:v>Média</x:v>
      </x:c>
      <x:c r="K286" s="1"/>
    </x:row>
    <x:row r="287" ht="36" hidden="0" customHeight="1">
      <x:c r="A287" s="119" t="str">
        <x:v>RN-M34-01</x:v>
      </x:c>
      <x:c r="B287" s="119" t="str">
        <x:v>Regra de negócio</x:v>
      </x:c>
      <x:c r="C287" s="119" t="str">
        <x:v>ADMINISTRAÇÃO</x:v>
      </x:c>
      <x:c r="D287" s="119" t="str">
        <x:v>A administração não pode alterar dados clínicos sem fluxo autorizado e rastreável.</x:v>
      </x:c>
      <x:c r="E287" s="119" t="str">
        <x:v>Parcial</x:v>
      </x:c>
      <x:c r="F287" s="120" t="n">
        <x:f>IF(E287="Implementado",1,IF(E287="Parcial",0.5,0))</x:f>
        <x:v>0.5</x:v>
      </x:c>
      <x:c r="G287" s="119" t="str">
        <x:v>src/nutri_app/ui/pages/users_page.py; src/nutri_app/ui/pages/settings_page.py; src/nutri_app/ui/pages/deployment_page.py; src/nutri_app/ui/pages/clinical_governance_page.py</x:v>
      </x:c>
      <x:c r="H287" s="119" t="str">
        <x:v>Falta painel administrativo unificado, monitoramento de banco/filas/falhas, fluxos de aprovação e exportação administrativa/auditoria completa.</x:v>
      </x:c>
      <x:c r="I287" s="119" t="str">
        <x:v>P0</x:v>
      </x:c>
      <x:c r="J287" s="119" t="str">
        <x:v>Média</x:v>
      </x:c>
      <x:c r="K287" s="1"/>
    </x:row>
    <x:row r="288" ht="36" hidden="0" customHeight="1">
      <x:c r="A288" s="119" t="str">
        <x:v>RN-M34-02</x:v>
      </x:c>
      <x:c r="B288" s="119" t="str">
        <x:v>Regra de negócio</x:v>
      </x:c>
      <x:c r="C288" s="119" t="str">
        <x:v>ADMINISTRAÇÃO</x:v>
      </x:c>
      <x:c r="D288" s="119" t="str">
        <x:v>Ações destrutivas ou de restauração exigem confirmação reforçada, backup e registro completo.</x:v>
      </x:c>
      <x:c r="E288" s="119" t="str">
        <x:v>Parcial</x:v>
      </x:c>
      <x:c r="F288" s="120" t="n">
        <x:f>IF(E288="Implementado",1,IF(E288="Parcial",0.5,0))</x:f>
        <x:v>0.5</x:v>
      </x:c>
      <x:c r="G288" s="119" t="str">
        <x:v>src/nutri_app/ui/pages/users_page.py; src/nutri_app/ui/pages/settings_page.py; src/nutri_app/ui/pages/deployment_page.py; src/nutri_app/ui/pages/clinical_governance_page.py</x:v>
      </x:c>
      <x:c r="H288" s="119" t="str">
        <x:v>Falta painel administrativo unificado, monitoramento de banco/filas/falhas, fluxos de aprovação e exportação administrativa/auditoria completa.</x:v>
      </x:c>
      <x:c r="I288" s="119" t="str">
        <x:v>P0</x:v>
      </x:c>
      <x:c r="J288" s="119" t="str">
        <x:v>Média</x:v>
      </x:c>
      <x:c r="K288" s="1"/>
    </x:row>
    <x:row r="289" ht="15" hidden="0" customHeight="1">
      <x:c r="A289" s="119" t="str">
        <x:v>RT-01</x:v>
      </x:c>
      <x:c r="B289" s="119" t="str">
        <x:v>Regra transversal</x:v>
      </x:c>
      <x:c r="C289" s="119" t="str">
        <x:v>Regras transversais</x:v>
      </x:c>
      <x:c r="D289" s="119" t="str">
        <x:v>Paciente, episódio, avaliação e profissional são chaves de contexto; registros órfãos não são permitidos.</x:v>
      </x:c>
      <x:c r="E289" s="119" t="str">
        <x:v>Parcial</x:v>
      </x:c>
      <x:c r="F289" s="120" t="n">
        <x:f>IF(E289="Implementado",1,IF(E289="Parcial",0.5,0))</x:f>
        <x:v>0.5</x:v>
      </x:c>
      <x:c r="G289" s="119" t="str">
        <x:v>database/schema.sql; src/nutri_app/repositories; src/nutri_app/services</x:v>
      </x:c>
      <x:c r="H289" s="119" t="str">
        <x:v>Exige consolidação transversal, versionamento e auditoria uniforme em todos os módulos.</x:v>
      </x:c>
      <x:c r="I289" s="119" t="str">
        <x:v>P0</x:v>
      </x:c>
      <x:c r="J289" s="119" t="str">
        <x:v>Média</x:v>
      </x:c>
      <x:c r="K289" s="1"/>
    </x:row>
    <x:row r="290" ht="24" hidden="0" customHeight="1">
      <x:c r="A290" s="119" t="str">
        <x:v>RT-02</x:v>
      </x:c>
      <x:c r="B290" s="119" t="str">
        <x:v>Regra transversal</x:v>
      </x:c>
      <x:c r="C290" s="119" t="str">
        <x:v>Regras transversais</x:v>
      </x:c>
      <x:c r="D290" s="119" t="str">
        <x:v>Dados originais e registros assinados são imutáveis; correções criam versões, adendos ou eventos de estorno.</x:v>
      </x:c>
      <x:c r="E290" s="119" t="str">
        <x:v>Parcial</x:v>
      </x:c>
      <x:c r="F290" s="120" t="n">
        <x:f>IF(E290="Implementado",1,IF(E290="Parcial",0.5,0))</x:f>
        <x:v>0.5</x:v>
      </x:c>
      <x:c r="G290" s="119" t="str">
        <x:v>database/schema.sql; src/nutri_app/repositories; src/nutri_app/services</x:v>
      </x:c>
      <x:c r="H290" s="119" t="str">
        <x:v>Exige consolidação transversal, versionamento e auditoria uniforme em todos os módulos.</x:v>
      </x:c>
      <x:c r="I290" s="119" t="str">
        <x:v>P0</x:v>
      </x:c>
      <x:c r="J290" s="119" t="str">
        <x:v>Média</x:v>
      </x:c>
      <x:c r="K290" s="1"/>
    </x:row>
    <x:row r="291" ht="15" hidden="0" customHeight="1">
      <x:c r="A291" s="119" t="str">
        <x:v>RT-03</x:v>
      </x:c>
      <x:c r="B291" s="119" t="str">
        <x:v>Regra transversal</x:v>
      </x:c>
      <x:c r="C291" s="119" t="str">
        <x:v>Regras transversais</x:v>
      </x:c>
      <x:c r="D291" s="119" t="str">
        <x:v>Exclusão lógica é o padrão; exclusão física depende de política de retenção, base legal e autorização.</x:v>
      </x:c>
      <x:c r="E291" s="119" t="str">
        <x:v>Implementado</x:v>
      </x:c>
      <x:c r="F291" s="120" t="n">
        <x:f>IF(E291="Implementado",1,IF(E291="Parcial",0.5,0))</x:f>
        <x:v>1</x:v>
      </x:c>
      <x:c r="G291" s="119" t="str">
        <x:v>database/schema.sql; src/nutri_app/repositories; src/nutri_app/services</x:v>
      </x:c>
      <x:c r="H291" s="119" t="str">
        <x:v>Cobertura identificada no escopo atual.</x:v>
      </x:c>
      <x:c r="I291" s="119" t="str">
        <x:v>—</x:v>
      </x:c>
      <x:c r="J291" s="119" t="str">
        <x:v>Alta</x:v>
      </x:c>
      <x:c r="K291" s="1"/>
    </x:row>
    <x:row r="292" ht="15" hidden="0" customHeight="1">
      <x:c r="A292" s="119" t="str">
        <x:v>RT-04</x:v>
      </x:c>
      <x:c r="B292" s="119" t="str">
        <x:v>Regra transversal</x:v>
      </x:c>
      <x:c r="C292" s="119" t="str">
        <x:v>Regras transversais</x:v>
      </x:c>
      <x:c r="D292" s="119" t="str">
        <x:v>Valores ausentes, não avaliados, não aplicáveis e zero são estados semanticamente diferentes.</x:v>
      </x:c>
      <x:c r="E292" s="119" t="str">
        <x:v>Parcial</x:v>
      </x:c>
      <x:c r="F292" s="120" t="n">
        <x:f>IF(E292="Implementado",1,IF(E292="Parcial",0.5,0))</x:f>
        <x:v>0.5</x:v>
      </x:c>
      <x:c r="G292" s="119" t="str">
        <x:v>database/schema.sql; src/nutri_app/repositories; src/nutri_app/services</x:v>
      </x:c>
      <x:c r="H292" s="119" t="str">
        <x:v>Exige consolidação transversal, versionamento e auditoria uniforme em todos os módulos.</x:v>
      </x:c>
      <x:c r="I292" s="119" t="str">
        <x:v>P0</x:v>
      </x:c>
      <x:c r="J292" s="119" t="str">
        <x:v>Média</x:v>
      </x:c>
      <x:c r="K292" s="1"/>
    </x:row>
    <x:row r="293" ht="15" hidden="0" customHeight="1">
      <x:c r="A293" s="119" t="str">
        <x:v>RT-05</x:v>
      </x:c>
      <x:c r="B293" s="119" t="str">
        <x:v>Regra transversal</x:v>
      </x:c>
      <x:c r="C293" s="119" t="str">
        <x:v>Regras transversais</x:v>
      </x:c>
      <x:c r="D293" s="119" t="str">
        <x:v>Toda fórmula clínica registra entradas, unidades, versão, fonte, resultado, arredondamento e responsável.</x:v>
      </x:c>
      <x:c r="E293" s="119" t="str">
        <x:v>Parcial</x:v>
      </x:c>
      <x:c r="F293" s="120" t="n">
        <x:f>IF(E293="Implementado",1,IF(E293="Parcial",0.5,0))</x:f>
        <x:v>0.5</x:v>
      </x:c>
      <x:c r="G293" s="119" t="str">
        <x:v>database/schema.sql; src/nutri_app/repositories; src/nutri_app/services</x:v>
      </x:c>
      <x:c r="H293" s="119" t="str">
        <x:v>Exige consolidação transversal, versionamento e auditoria uniforme em todos os módulos.</x:v>
      </x:c>
      <x:c r="I293" s="119" t="str">
        <x:v>P0</x:v>
      </x:c>
      <x:c r="J293" s="119" t="str">
        <x:v>Média</x:v>
      </x:c>
      <x:c r="K293" s="1"/>
    </x:row>
    <x:row r="294" ht="15" hidden="0" customHeight="1">
      <x:c r="A294" s="119" t="str">
        <x:v>RT-06</x:v>
      </x:c>
      <x:c r="B294" s="119" t="str">
        <x:v>Regra transversal</x:v>
      </x:c>
      <x:c r="C294" s="119" t="str">
        <x:v>Regras transversais</x:v>
      </x:c>
      <x:c r="D294" s="119" t="str">
        <x:v>Alertas automáticos sinalizam; não substituem diagnóstico, prescrição ou validação profissional.</x:v>
      </x:c>
      <x:c r="E294" s="119" t="str">
        <x:v>Implementado</x:v>
      </x:c>
      <x:c r="F294" s="120" t="n">
        <x:f>IF(E294="Implementado",1,IF(E294="Parcial",0.5,0))</x:f>
        <x:v>1</x:v>
      </x:c>
      <x:c r="G294" s="119" t="str">
        <x:v>database/schema.sql; src/nutri_app/repositories; src/nutri_app/services</x:v>
      </x:c>
      <x:c r="H294" s="119" t="str">
        <x:v>Cobertura identificada no escopo atual.</x:v>
      </x:c>
      <x:c r="I294" s="119" t="str">
        <x:v>—</x:v>
      </x:c>
      <x:c r="J294" s="119" t="str">
        <x:v>Alta</x:v>
      </x:c>
      <x:c r="K294" s="1"/>
    </x:row>
    <x:row r="295" ht="15" hidden="0" customHeight="1">
      <x:c r="A295" s="119" t="str">
        <x:v>RT-07</x:v>
      </x:c>
      <x:c r="B295" s="119" t="str">
        <x:v>Regra transversal</x:v>
      </x:c>
      <x:c r="C295" s="119" t="str">
        <x:v>Regras transversais</x:v>
      </x:c>
      <x:c r="D295" s="119" t="str">
        <x:v>Dados reutilizados são vinculados à origem e à data; não são copiados para campos paralelos.</x:v>
      </x:c>
      <x:c r="E295" s="119" t="str">
        <x:v>Parcial</x:v>
      </x:c>
      <x:c r="F295" s="120" t="n">
        <x:f>IF(E295="Implementado",1,IF(E295="Parcial",0.5,0))</x:f>
        <x:v>0.5</x:v>
      </x:c>
      <x:c r="G295" s="119" t="str">
        <x:v>database/schema.sql; src/nutri_app/repositories; src/nutri_app/services</x:v>
      </x:c>
      <x:c r="H295" s="119" t="str">
        <x:v>Exige consolidação transversal, versionamento e auditoria uniforme em todos os módulos.</x:v>
      </x:c>
      <x:c r="I295" s="119" t="str">
        <x:v>P0</x:v>
      </x:c>
      <x:c r="J295" s="119" t="str">
        <x:v>Média</x:v>
      </x:c>
      <x:c r="K295" s="1"/>
    </x:row>
    <x:row r="296" ht="24" hidden="0" customHeight="1">
      <x:c r="A296" s="119" t="str">
        <x:v>RT-08</x:v>
      </x:c>
      <x:c r="B296" s="119" t="str">
        <x:v>Regra transversal</x:v>
      </x:c>
      <x:c r="C296" s="119" t="str">
        <x:v>Regras transversais</x:v>
      </x:c>
      <x:c r="D296" s="119" t="str">
        <x:v>Importações preservam payload, origem, identificador, data, versão do esquema e resultado do processamento.</x:v>
      </x:c>
      <x:c r="E296" s="119" t="str">
        <x:v>Parcial</x:v>
      </x:c>
      <x:c r="F296" s="120" t="n">
        <x:f>IF(E296="Implementado",1,IF(E296="Parcial",0.5,0))</x:f>
        <x:v>0.5</x:v>
      </x:c>
      <x:c r="G296" s="119" t="str">
        <x:v>database/schema.sql; src/nutri_app/repositories; src/nutri_app/services</x:v>
      </x:c>
      <x:c r="H296" s="119" t="str">
        <x:v>Exige consolidação transversal, versionamento e auditoria uniforme em todos os módulos.</x:v>
      </x:c>
      <x:c r="I296" s="119" t="str">
        <x:v>P0</x:v>
      </x:c>
      <x:c r="J296" s="119" t="str">
        <x:v>Média</x:v>
      </x:c>
      <x:c r="K296" s="1"/>
    </x:row>
    <x:row r="297" ht="24" hidden="0" customHeight="1">
      <x:c r="A297" s="119" t="str">
        <x:v>RT-09</x:v>
      </x:c>
      <x:c r="B297" s="119" t="str">
        <x:v>Regra transversal</x:v>
      </x:c>
      <x:c r="C297" s="119" t="str">
        <x:v>Regras transversais</x:v>
      </x:c>
      <x:c r="D297" s="119" t="str">
        <x:v>Integrações externas usam segredo fora do código/banco clínico, idempotência, timeout, retries e auditoria.</x:v>
      </x:c>
      <x:c r="E297" s="119" t="str">
        <x:v>Parcial</x:v>
      </x:c>
      <x:c r="F297" s="120" t="n">
        <x:f>IF(E297="Implementado",1,IF(E297="Parcial",0.5,0))</x:f>
        <x:v>0.5</x:v>
      </x:c>
      <x:c r="G297" s="119" t="str">
        <x:v>database/schema.sql; src/nutri_app/repositories; src/nutri_app/services</x:v>
      </x:c>
      <x:c r="H297" s="119" t="str">
        <x:v>Exige consolidação transversal, versionamento e auditoria uniforme em todos os módulos.</x:v>
      </x:c>
      <x:c r="I297" s="119" t="str">
        <x:v>P0</x:v>
      </x:c>
      <x:c r="J297" s="119" t="str">
        <x:v>Média</x:v>
      </x:c>
      <x:c r="K297" s="1"/>
    </x:row>
    <x:row r="298" ht="15" hidden="0" customHeight="1">
      <x:c r="A298" s="119" t="str">
        <x:v>RT-10</x:v>
      </x:c>
      <x:c r="B298" s="119" t="str">
        <x:v>Regra transversal</x:v>
      </x:c>
      <x:c r="C298" s="119" t="str">
        <x:v>Regras transversais</x:v>
      </x:c>
      <x:c r="D298" s="119" t="str">
        <x:v>Documentos e publicações permanecem associados à versão exata dos dados e modelos utilizados.</x:v>
      </x:c>
      <x:c r="E298" s="119" t="str">
        <x:v>Parcial</x:v>
      </x:c>
      <x:c r="F298" s="120" t="n">
        <x:f>IF(E298="Implementado",1,IF(E298="Parcial",0.5,0))</x:f>
        <x:v>0.5</x:v>
      </x:c>
      <x:c r="G298" s="119" t="str">
        <x:v>database/schema.sql; src/nutri_app/repositories; src/nutri_app/services</x:v>
      </x:c>
      <x:c r="H298" s="119" t="str">
        <x:v>Exige consolidação transversal, versionamento e auditoria uniforme em todos os módulos.</x:v>
      </x:c>
      <x:c r="I298" s="119" t="str">
        <x:v>P0</x:v>
      </x:c>
      <x:c r="J298" s="119" t="str">
        <x:v>Média</x:v>
      </x:c>
      <x:c r="K298" s="1"/>
    </x:row>
    <x:row r="299" ht="15" hidden="0" customHeight="1">
      <x:c r="A299" s="119" t="str">
        <x:v>RT-11</x:v>
      </x:c>
      <x:c r="B299" s="119" t="str">
        <x:v>Regra transversal</x:v>
      </x:c>
      <x:c r="C299" s="119" t="str">
        <x:v>Regras transversais</x:v>
      </x:c>
      <x:c r="D299" s="119" t="str">
        <x:v>Mudanças de protocolo não recalculam registros históricos sem ação explícita e auditada.</x:v>
      </x:c>
      <x:c r="E299" s="119" t="str">
        <x:v>Parcial</x:v>
      </x:c>
      <x:c r="F299" s="120" t="n">
        <x:f>IF(E299="Implementado",1,IF(E299="Parcial",0.5,0))</x:f>
        <x:v>0.5</x:v>
      </x:c>
      <x:c r="G299" s="119" t="str">
        <x:v>database/schema.sql; src/nutri_app/repositories; src/nutri_app/services</x:v>
      </x:c>
      <x:c r="H299" s="119" t="str">
        <x:v>Exige consolidação transversal, versionamento e auditoria uniforme em todos os módulos.</x:v>
      </x:c>
      <x:c r="I299" s="119" t="str">
        <x:v>P0</x:v>
      </x:c>
      <x:c r="J299" s="119" t="str">
        <x:v>Média</x:v>
      </x:c>
      <x:c r="K299" s="1"/>
    </x:row>
    <x:row r="300" ht="15" hidden="0" customHeight="1">
      <x:c r="A300" s="119" t="str">
        <x:v>RT-12</x:v>
      </x:c>
      <x:c r="B300" s="119" t="str">
        <x:v>Regra transversal</x:v>
      </x:c>
      <x:c r="C300" s="119" t="str">
        <x:v>Regras transversais</x:v>
      </x:c>
      <x:c r="D300" s="119" t="str">
        <x:v>Exemplos e dados demonstrativos devem ser claramente identificados e isolados dos dados de produção.</x:v>
      </x:c>
      <x:c r="E300" s="119" t="str">
        <x:v>Parcial</x:v>
      </x:c>
      <x:c r="F300" s="120" t="n">
        <x:f>IF(E300="Implementado",1,IF(E300="Parcial",0.5,0))</x:f>
        <x:v>0.5</x:v>
      </x:c>
      <x:c r="G300" s="119" t="str">
        <x:v>database/schema.sql; src/nutri_app/repositories; src/nutri_app/services</x:v>
      </x:c>
      <x:c r="H300" s="119" t="str">
        <x:v>Exige consolidação transversal, versionamento e auditoria uniforme em todos os módulos.</x:v>
      </x:c>
      <x:c r="I300" s="119" t="str">
        <x:v>P0</x:v>
      </x:c>
      <x:c r="J300" s="119" t="str">
        <x:v>Média</x:v>
      </x:c>
      <x:c r="K300" s="1"/>
    </x:row>
    <x:row r="301" ht="24" hidden="0" customHeight="1">
      <x:c r="A301" s="119" t="str">
        <x:v>RNF-01</x:v>
      </x:c>
      <x:c r="B301" s="119" t="str">
        <x:v>Não funcional</x:v>
      </x:c>
      <x:c r="C301" s="119" t="str">
        <x:v>Requisitos não funcionais</x:v>
      </x:c>
      <x:c r="D301" s="119" t="str">
        <x:v>Segurança: autenticação forte, autorização em profundidade, criptografia, gestão de segredos e revisão de dependências.</x:v>
      </x:c>
      <x:c r="E301" s="119" t="str">
        <x:v>Parcial</x:v>
      </x:c>
      <x:c r="F301" s="120" t="n">
        <x:f>IF(E301="Implementado",1,IF(E301="Parcial",0.5,0))</x:f>
        <x:v>0.5</x:v>
      </x:c>
      <x:c r="G301" s="119" t="str">
        <x:v>README.md; .github/workflows/quality.yml; src/nutri_app/services; tests</x:v>
      </x:c>
      <x:c r="H301" s="119" t="str">
        <x:v>Requisito de qualidade ainda não está demonstrado de ponta a ponta em ambiente de produção.</x:v>
      </x:c>
      <x:c r="I301" s="119" t="str">
        <x:v>P0</x:v>
      </x:c>
      <x:c r="J301" s="119" t="str">
        <x:v>Média</x:v>
      </x:c>
      <x:c r="K301" s="1"/>
    </x:row>
    <x:row r="302" ht="24" hidden="0" customHeight="1">
      <x:c r="A302" s="119" t="str">
        <x:v>RNF-02</x:v>
      </x:c>
      <x:c r="B302" s="119" t="str">
        <x:v>Não funcional</x:v>
      </x:c>
      <x:c r="C302" s="119" t="str">
        <x:v>Requisitos não funcionais</x:v>
      </x:c>
      <x:c r="D302" s="119" t="str">
        <x:v>Privacidade: privacidade por padrão, minimização, consentimento/finalidade, retenção e trilha de solicitações.</x:v>
      </x:c>
      <x:c r="E302" s="119" t="str">
        <x:v>Parcial</x:v>
      </x:c>
      <x:c r="F302" s="120" t="n">
        <x:f>IF(E302="Implementado",1,IF(E302="Parcial",0.5,0))</x:f>
        <x:v>0.5</x:v>
      </x:c>
      <x:c r="G302" s="119" t="str">
        <x:v>README.md; .github/workflows/quality.yml; src/nutri_app/services; tests</x:v>
      </x:c>
      <x:c r="H302" s="119" t="str">
        <x:v>Requisito de qualidade ainda não está demonstrado de ponta a ponta em ambiente de produção.</x:v>
      </x:c>
      <x:c r="I302" s="119" t="str">
        <x:v>P0</x:v>
      </x:c>
      <x:c r="J302" s="119" t="str">
        <x:v>Média</x:v>
      </x:c>
      <x:c r="K302" s="1"/>
    </x:row>
    <x:row r="303" ht="24" hidden="0" customHeight="1">
      <x:c r="A303" s="119" t="str">
        <x:v>RNF-03</x:v>
      </x:c>
      <x:c r="B303" s="119" t="str">
        <x:v>Não funcional</x:v>
      </x:c>
      <x:c r="C303" s="119" t="str">
        <x:v>Requisitos não funcionais</x:v>
      </x:c>
      <x:c r="D303" s="119" t="str">
        <x:v>Desempenho: telas principais devem permanecer responsivas com paginação, filtros e processamento assíncrono quando necessário.</x:v>
      </x:c>
      <x:c r="E303" s="119" t="str">
        <x:v>Parcial</x:v>
      </x:c>
      <x:c r="F303" s="120" t="n">
        <x:f>IF(E303="Implementado",1,IF(E303="Parcial",0.5,0))</x:f>
        <x:v>0.5</x:v>
      </x:c>
      <x:c r="G303" s="119" t="str">
        <x:v>README.md; .github/workflows/quality.yml; src/nutri_app/services; tests</x:v>
      </x:c>
      <x:c r="H303" s="119" t="str">
        <x:v>Requisito de qualidade ainda não está demonstrado de ponta a ponta em ambiente de produção.</x:v>
      </x:c>
      <x:c r="I303" s="119" t="str">
        <x:v>P0</x:v>
      </x:c>
      <x:c r="J303" s="119" t="str">
        <x:v>Média</x:v>
      </x:c>
      <x:c r="K303" s="1"/>
    </x:row>
    <x:row r="304" ht="24" hidden="0" customHeight="1">
      <x:c r="A304" s="119" t="str">
        <x:v>RNF-04</x:v>
      </x:c>
      <x:c r="B304" s="119" t="str">
        <x:v>Não funcional</x:v>
      </x:c>
      <x:c r="C304" s="119" t="str">
        <x:v>Requisitos não funcionais</x:v>
      </x:c>
      <x:c r="D304" s="119" t="str">
        <x:v>Disponibilidade: falhas de integração não devem impedir registro clínico local; operações pendentes precisam de reprocessamento seguro.</x:v>
      </x:c>
      <x:c r="E304" s="119" t="str">
        <x:v>Parcial</x:v>
      </x:c>
      <x:c r="F304" s="120" t="n">
        <x:f>IF(E304="Implementado",1,IF(E304="Parcial",0.5,0))</x:f>
        <x:v>0.5</x:v>
      </x:c>
      <x:c r="G304" s="119" t="str">
        <x:v>README.md; .github/workflows/quality.yml; src/nutri_app/services; tests</x:v>
      </x:c>
      <x:c r="H304" s="119" t="str">
        <x:v>Requisito de qualidade ainda não está demonstrado de ponta a ponta em ambiente de produção.</x:v>
      </x:c>
      <x:c r="I304" s="119" t="str">
        <x:v>P0</x:v>
      </x:c>
      <x:c r="J304" s="119" t="str">
        <x:v>Média</x:v>
      </x:c>
      <x:c r="K304" s="1"/>
    </x:row>
    <x:row r="305" ht="24" hidden="0" customHeight="1">
      <x:c r="A305" s="119" t="str">
        <x:v>RNF-05</x:v>
      </x:c>
      <x:c r="B305" s="119" t="str">
        <x:v>Não funcional</x:v>
      </x:c>
      <x:c r="C305" s="119" t="str">
        <x:v>Requisitos não funcionais</x:v>
      </x:c>
      <x:c r="D305" s="119" t="str">
        <x:v>Confiabilidade: transações consistentes, integridade referencial, backup testado e recuperação documentada.</x:v>
      </x:c>
      <x:c r="E305" s="119" t="str">
        <x:v>Parcial</x:v>
      </x:c>
      <x:c r="F305" s="120" t="n">
        <x:f>IF(E305="Implementado",1,IF(E305="Parcial",0.5,0))</x:f>
        <x:v>0.5</x:v>
      </x:c>
      <x:c r="G305" s="119" t="str">
        <x:v>README.md; .github/workflows/quality.yml; src/nutri_app/services; tests</x:v>
      </x:c>
      <x:c r="H305" s="119" t="str">
        <x:v>Requisito de qualidade ainda não está demonstrado de ponta a ponta em ambiente de produção.</x:v>
      </x:c>
      <x:c r="I305" s="119" t="str">
        <x:v>P0</x:v>
      </x:c>
      <x:c r="J305" s="119" t="str">
        <x:v>Média</x:v>
      </x:c>
      <x:c r="K305" s="1"/>
    </x:row>
    <x:row r="306" ht="24" hidden="0" customHeight="1">
      <x:c r="A306" s="119" t="str">
        <x:v>RNF-06</x:v>
      </x:c>
      <x:c r="B306" s="119" t="str">
        <x:v>Não funcional</x:v>
      </x:c>
      <x:c r="C306" s="119" t="str">
        <x:v>Requisitos não funcionais</x:v>
      </x:c>
      <x:c r="D306" s="119" t="str">
        <x:v>Usabilidade: fluxo coerente, linguagem clínica clara, prevenção de erros e confirmação proporcional ao risco.</x:v>
      </x:c>
      <x:c r="E306" s="119" t="str">
        <x:v>Parcial</x:v>
      </x:c>
      <x:c r="F306" s="120" t="n">
        <x:f>IF(E306="Implementado",1,IF(E306="Parcial",0.5,0))</x:f>
        <x:v>0.5</x:v>
      </x:c>
      <x:c r="G306" s="119" t="str">
        <x:v>README.md; .github/workflows/quality.yml; src/nutri_app/services; tests</x:v>
      </x:c>
      <x:c r="H306" s="119" t="str">
        <x:v>Requisito de qualidade ainda não está demonstrado de ponta a ponta em ambiente de produção.</x:v>
      </x:c>
      <x:c r="I306" s="119" t="str">
        <x:v>P0</x:v>
      </x:c>
      <x:c r="J306" s="119" t="str">
        <x:v>Média</x:v>
      </x:c>
      <x:c r="K306" s="1"/>
    </x:row>
    <x:row r="307" ht="24" hidden="0" customHeight="1">
      <x:c r="A307" s="119" t="str">
        <x:v>RNF-07</x:v>
      </x:c>
      <x:c r="B307" s="119" t="str">
        <x:v>Não funcional</x:v>
      </x:c>
      <x:c r="C307" s="119" t="str">
        <x:v>Requisitos não funcionais</x:v>
      </x:c>
      <x:c r="D307" s="119" t="str">
        <x:v>Acessibilidade: navegação por teclado, contraste, rótulos, foco visível, texto escalável e significado não dependente apenas de cor.</x:v>
      </x:c>
      <x:c r="E307" s="119" t="str">
        <x:v>Não identificado</x:v>
      </x:c>
      <x:c r="F307" s="120" t="n">
        <x:f>IF(E307="Implementado",1,IF(E307="Parcial",0.5,0))</x:f>
        <x:v>0</x:v>
      </x:c>
      <x:c r="G307" s="119" t="str">
        <x:v>README.md; .github/workflows/quality.yml; src/nutri_app/services; tests</x:v>
      </x:c>
      <x:c r="H307" s="119" t="str">
        <x:v>Requisito de qualidade ainda não está demonstrado de ponta a ponta em ambiente de produção.</x:v>
      </x:c>
      <x:c r="I307" s="119" t="str">
        <x:v>P0</x:v>
      </x:c>
      <x:c r="J307" s="119" t="str">
        <x:v>Média</x:v>
      </x:c>
      <x:c r="K307" s="1"/>
    </x:row>
    <x:row r="308" ht="24" hidden="0" customHeight="1">
      <x:c r="A308" s="119" t="str">
        <x:v>RNF-08</x:v>
      </x:c>
      <x:c r="B308" s="119" t="str">
        <x:v>Não funcional</x:v>
      </x:c>
      <x:c r="C308" s="119" t="str">
        <x:v>Requisitos não funcionais</x:v>
      </x:c>
      <x:c r="D308" s="119" t="str">
        <x:v>Auditabilidade: origem do dado, autoria, data, versão e transformação devem ser consultáveis por usuários autorizados.</x:v>
      </x:c>
      <x:c r="E308" s="119" t="str">
        <x:v>Parcial</x:v>
      </x:c>
      <x:c r="F308" s="120" t="n">
        <x:f>IF(E308="Implementado",1,IF(E308="Parcial",0.5,0))</x:f>
        <x:v>0.5</x:v>
      </x:c>
      <x:c r="G308" s="119" t="str">
        <x:v>README.md; .github/workflows/quality.yml; src/nutri_app/services; tests</x:v>
      </x:c>
      <x:c r="H308" s="119" t="str">
        <x:v>Requisito de qualidade ainda não está demonstrado de ponta a ponta em ambiente de produção.</x:v>
      </x:c>
      <x:c r="I308" s="119" t="str">
        <x:v>P0</x:v>
      </x:c>
      <x:c r="J308" s="119" t="str">
        <x:v>Média</x:v>
      </x:c>
      <x:c r="K308" s="1"/>
    </x:row>
    <x:row r="309" ht="24" hidden="0" customHeight="1">
      <x:c r="A309" s="119" t="str">
        <x:v>RNF-09</x:v>
      </x:c>
      <x:c r="B309" s="119" t="str">
        <x:v>Não funcional</x:v>
      </x:c>
      <x:c r="C309" s="119" t="str">
        <x:v>Requisitos não funcionais</x:v>
      </x:c>
      <x:c r="D309" s="119" t="str">
        <x:v>Manutenibilidade: módulos desacoplados, migrações versionadas, documentação, testes automatizados e integração contínua.</x:v>
      </x:c>
      <x:c r="E309" s="119" t="str">
        <x:v>Implementado</x:v>
      </x:c>
      <x:c r="F309" s="120" t="n">
        <x:f>IF(E309="Implementado",1,IF(E309="Parcial",0.5,0))</x:f>
        <x:v>1</x:v>
      </x:c>
      <x:c r="G309" s="119" t="str">
        <x:v>README.md; .github/workflows/quality.yml; src/nutri_app/services; tests</x:v>
      </x:c>
      <x:c r="H309" s="119" t="str">
        <x:v>Cobertura identificada no escopo atual.</x:v>
      </x:c>
      <x:c r="I309" s="119" t="str">
        <x:v>—</x:v>
      </x:c>
      <x:c r="J309" s="119" t="str">
        <x:v>Alta</x:v>
      </x:c>
      <x:c r="K309" s="1"/>
    </x:row>
    <x:row r="310" ht="24" hidden="0" customHeight="1">
      <x:c r="A310" s="119" t="str">
        <x:v>RNF-10</x:v>
      </x:c>
      <x:c r="B310" s="119" t="str">
        <x:v>Não funcional</x:v>
      </x:c>
      <x:c r="C310" s="119" t="str">
        <x:v>Requisitos não funcionais</x:v>
      </x:c>
      <x:c r="D310" s="119" t="str">
        <x:v>Portabilidade: instalação e atualização reproduzíveis; exportações em formatos abertos quando aplicáveis.</x:v>
      </x:c>
      <x:c r="E310" s="119" t="str">
        <x:v>Parcial</x:v>
      </x:c>
      <x:c r="F310" s="120" t="n">
        <x:f>IF(E310="Implementado",1,IF(E310="Parcial",0.5,0))</x:f>
        <x:v>0.5</x:v>
      </x:c>
      <x:c r="G310" s="119" t="str">
        <x:v>README.md; .github/workflows/quality.yml; src/nutri_app/services; tests</x:v>
      </x:c>
      <x:c r="H310" s="119" t="str">
        <x:v>Requisito de qualidade ainda não está demonstrado de ponta a ponta em ambiente de produção.</x:v>
      </x:c>
      <x:c r="I310" s="119" t="str">
        <x:v>P0</x:v>
      </x:c>
      <x:c r="J310" s="119" t="str">
        <x:v>Média</x:v>
      </x:c>
      <x:c r="K310" s="1"/>
    </x:row>
    <x:row r="311" ht="24" hidden="0" customHeight="1">
      <x:c r="A311" s="119" t="str">
        <x:v>RNF-11</x:v>
      </x:c>
      <x:c r="B311" s="119" t="str">
        <x:v>Não funcional</x:v>
      </x:c>
      <x:c r="C311" s="119" t="str">
        <x:v>Requisitos não funcionais</x:v>
      </x:c>
      <x:c r="D311" s="119" t="str">
        <x:v>Interoperabilidade: APIs versionadas, esquemas documentados, validação de entrada e conectores homologados.</x:v>
      </x:c>
      <x:c r="E311" s="119" t="str">
        <x:v>Parcial</x:v>
      </x:c>
      <x:c r="F311" s="120" t="n">
        <x:f>IF(E311="Implementado",1,IF(E311="Parcial",0.5,0))</x:f>
        <x:v>0.5</x:v>
      </x:c>
      <x:c r="G311" s="119" t="str">
        <x:v>README.md; .github/workflows/quality.yml; src/nutri_app/services; tests</x:v>
      </x:c>
      <x:c r="H311" s="119" t="str">
        <x:v>Requisito de qualidade ainda não está demonstrado de ponta a ponta em ambiente de produção.</x:v>
      </x:c>
      <x:c r="I311" s="119" t="str">
        <x:v>P0</x:v>
      </x:c>
      <x:c r="J311" s="119" t="str">
        <x:v>Média</x:v>
      </x:c>
      <x:c r="K311" s="1"/>
    </x:row>
    <x:row r="312" ht="24" hidden="0" customHeight="1">
      <x:c r="A312" s="119" t="str">
        <x:v>RNF-12</x:v>
      </x:c>
      <x:c r="B312" s="119" t="str">
        <x:v>Não funcional</x:v>
      </x:c>
      <x:c r="C312" s="119" t="str">
        <x:v>Requisitos não funcionais</x:v>
      </x:c>
      <x:c r="D312" s="119" t="str">
        <x:v>Observabilidade: logs técnicos sem dados sensíveis desnecessários, métricas, status de integrações e alertas operacionais.</x:v>
      </x:c>
      <x:c r="E312" s="119" t="str">
        <x:v>Parcial</x:v>
      </x:c>
      <x:c r="F312" s="120" t="n">
        <x:f>IF(E312="Implementado",1,IF(E312="Parcial",0.5,0))</x:f>
        <x:v>0.5</x:v>
      </x:c>
      <x:c r="G312" s="119" t="str">
        <x:v>README.md; .github/workflows/quality.yml; src/nutri_app/services; tests</x:v>
      </x:c>
      <x:c r="H312" s="119" t="str">
        <x:v>Requisito de qualidade ainda não está demonstrado de ponta a ponta em ambiente de produção.</x:v>
      </x:c>
      <x:c r="I312" s="119" t="str">
        <x:v>P0</x:v>
      </x:c>
      <x:c r="J312" s="119" t="str">
        <x:v>Média</x:v>
      </x:c>
      <x:c r="K312" s="1"/>
    </x:row>
    <x:row r="313" ht="24" hidden="0" customHeight="1">
      <x:c r="A313" s="119" t="str">
        <x:v>CA-01</x:v>
      </x:c>
      <x:c r="B313" s="119" t="str">
        <x:v>Critério de aceite</x:v>
      </x:c>
      <x:c r="C313" s="119" t="str">
        <x:v>Aceite e implantação</x:v>
      </x:c>
      <x:c r="D313" s="119" t="str">
        <x:v>Requisitos funcionais possuem casos de teste, critérios de entrada/saída e evidência de execução.</x:v>
      </x:c>
      <x:c r="E313" s="119" t="str">
        <x:v>Parcial</x:v>
      </x:c>
      <x:c r="F313" s="120" t="n">
        <x:f>IF(E313="Implementado",1,IF(E313="Parcial",0.5,0))</x:f>
        <x:v>0.5</x:v>
      </x:c>
      <x:c r="G313" s="119" t="str">
        <x:v>tests; .github/workflows/quality.yml; installer/NutriClinicPro.iss; src/nutri_app/ui/pages/deployment_page.py</x:v>
      </x:c>
      <x:c r="H313" s="119" t="str">
        <x:v>Critério ainda requer evidência formal de homologação/produção.</x:v>
      </x:c>
      <x:c r="I313" s="119" t="str">
        <x:v>P0</x:v>
      </x:c>
      <x:c r="J313" s="119" t="str">
        <x:v>Média</x:v>
      </x:c>
      <x:c r="K313" s="1"/>
    </x:row>
    <x:row r="314" ht="24" hidden="0" customHeight="1">
      <x:c r="A314" s="119" t="str">
        <x:v>CA-02</x:v>
      </x:c>
      <x:c r="B314" s="119" t="str">
        <x:v>Critério de aceite</x:v>
      </x:c>
      <x:c r="C314" s="119" t="str">
        <x:v>Aceite e implantação</x:v>
      </x:c>
      <x:c r="D314" s="119" t="str">
        <x:v>Fórmulas e protocolos clínicos foram revisados por profissional responsável, com fonte, versão e casos de referência.</x:v>
      </x:c>
      <x:c r="E314" s="119" t="str">
        <x:v>Parcial</x:v>
      </x:c>
      <x:c r="F314" s="120" t="n">
        <x:f>IF(E314="Implementado",1,IF(E314="Parcial",0.5,0))</x:f>
        <x:v>0.5</x:v>
      </x:c>
      <x:c r="G314" s="119" t="str">
        <x:v>tests; .github/workflows/quality.yml; installer/NutriClinicPro.iss; src/nutri_app/ui/pages/deployment_page.py</x:v>
      </x:c>
      <x:c r="H314" s="119" t="str">
        <x:v>Critério ainda requer evidência formal de homologação/produção.</x:v>
      </x:c>
      <x:c r="I314" s="119" t="str">
        <x:v>P0</x:v>
      </x:c>
      <x:c r="J314" s="119" t="str">
        <x:v>Média</x:v>
      </x:c>
      <x:c r="K314" s="1"/>
    </x:row>
    <x:row r="315" ht="24" hidden="0" customHeight="1">
      <x:c r="A315" s="119" t="str">
        <x:v>CA-03</x:v>
      </x:c>
      <x:c r="B315" s="119" t="str">
        <x:v>Critério de aceite</x:v>
      </x:c>
      <x:c r="C315" s="119" t="str">
        <x:v>Aceite e implantação</x:v>
      </x:c>
      <x:c r="D315" s="119" t="str">
        <x:v>Testes unitários, integração, interface, segurança, migração, backup/restauração e regressão estão aprovados.</x:v>
      </x:c>
      <x:c r="E315" s="119" t="str">
        <x:v>Implementado</x:v>
      </x:c>
      <x:c r="F315" s="120" t="n">
        <x:f>IF(E315="Implementado",1,IF(E315="Parcial",0.5,0))</x:f>
        <x:v>1</x:v>
      </x:c>
      <x:c r="G315" s="119" t="str">
        <x:v>tests; .github/workflows/quality.yml; installer/NutriClinicPro.iss; src/nutri_app/ui/pages/deployment_page.py</x:v>
      </x:c>
      <x:c r="H315" s="119" t="str">
        <x:v>Evidência automatizada identificada no escopo atual.</x:v>
      </x:c>
      <x:c r="I315" s="119" t="str">
        <x:v>—</x:v>
      </x:c>
      <x:c r="J315" s="119" t="str">
        <x:v>Alta</x:v>
      </x:c>
      <x:c r="K315" s="1"/>
    </x:row>
    <x:row r="316" ht="24" hidden="0" customHeight="1">
      <x:c r="A316" s="119" t="str">
        <x:v>CA-04</x:v>
      </x:c>
      <x:c r="B316" s="119" t="str">
        <x:v>Critério de aceite</x:v>
      </x:c>
      <x:c r="C316" s="119" t="str">
        <x:v>Aceite e implantação</x:v>
      </x:c>
      <x:c r="D316" s="119" t="str">
        <x:v>Perfis e permissões foram validados com dados representativos e tentativas de acesso indevido.</x:v>
      </x:c>
      <x:c r="E316" s="119" t="str">
        <x:v>Parcial</x:v>
      </x:c>
      <x:c r="F316" s="120" t="n">
        <x:f>IF(E316="Implementado",1,IF(E316="Parcial",0.5,0))</x:f>
        <x:v>0.5</x:v>
      </x:c>
      <x:c r="G316" s="119" t="str">
        <x:v>tests; .github/workflows/quality.yml; installer/NutriClinicPro.iss; src/nutri_app/ui/pages/deployment_page.py</x:v>
      </x:c>
      <x:c r="H316" s="119" t="str">
        <x:v>Critério ainda requer evidência formal de homologação/produção.</x:v>
      </x:c>
      <x:c r="I316" s="119" t="str">
        <x:v>P0</x:v>
      </x:c>
      <x:c r="J316" s="119" t="str">
        <x:v>Média</x:v>
      </x:c>
      <x:c r="K316" s="1"/>
    </x:row>
    <x:row r="317" ht="24" hidden="0" customHeight="1">
      <x:c r="A317" s="119" t="str">
        <x:v>CA-05</x:v>
      </x:c>
      <x:c r="B317" s="119" t="str">
        <x:v>Critério de aceite</x:v>
      </x:c>
      <x:c r="C317" s="119" t="str">
        <x:v>Aceite e implantação</x:v>
      </x:c>
      <x:c r="D317" s="119" t="str">
        <x:v>Fluxos LGPD, consentimento, exportação, retenção e anonimização foram revisados juridicamente e testados.</x:v>
      </x:c>
      <x:c r="E317" s="119" t="str">
        <x:v>Parcial</x:v>
      </x:c>
      <x:c r="F317" s="120" t="n">
        <x:f>IF(E317="Implementado",1,IF(E317="Parcial",0.5,0))</x:f>
        <x:v>0.5</x:v>
      </x:c>
      <x:c r="G317" s="119" t="str">
        <x:v>tests; .github/workflows/quality.yml; installer/NutriClinicPro.iss; src/nutri_app/ui/pages/deployment_page.py</x:v>
      </x:c>
      <x:c r="H317" s="119" t="str">
        <x:v>Critério ainda requer evidência formal de homologação/produção.</x:v>
      </x:c>
      <x:c r="I317" s="119" t="str">
        <x:v>P0</x:v>
      </x:c>
      <x:c r="J317" s="119" t="str">
        <x:v>Média</x:v>
      </x:c>
      <x:c r="K317" s="1"/>
    </x:row>
    <x:row r="318" ht="24" hidden="0" customHeight="1">
      <x:c r="A318" s="119" t="str">
        <x:v>CA-06</x:v>
      </x:c>
      <x:c r="B318" s="119" t="str">
        <x:v>Critério de aceite</x:v>
      </x:c>
      <x:c r="C318" s="119" t="str">
        <x:v>Aceite e implantação</x:v>
      </x:c>
      <x:c r="D318" s="119" t="str">
        <x:v>Integrações externas foram homologadas com credenciais de ambiente, erros, retries e idempotência.</x:v>
      </x:c>
      <x:c r="E318" s="119" t="str">
        <x:v>Não identificado</x:v>
      </x:c>
      <x:c r="F318" s="120" t="n">
        <x:f>IF(E318="Implementado",1,IF(E318="Parcial",0.5,0))</x:f>
        <x:v>0</x:v>
      </x:c>
      <x:c r="G318" s="119" t="str">
        <x:v>tests; .github/workflows/quality.yml; installer/NutriClinicPro.iss; src/nutri_app/ui/pages/deployment_page.py</x:v>
      </x:c>
      <x:c r="H318" s="119" t="str">
        <x:v>Critério ainda requer evidência formal de homologação/produção.</x:v>
      </x:c>
      <x:c r="I318" s="119" t="str">
        <x:v>P0</x:v>
      </x:c>
      <x:c r="J318" s="119" t="str">
        <x:v>Média</x:v>
      </x:c>
      <x:c r="K318" s="1"/>
    </x:row>
    <x:row r="319" ht="24" hidden="0" customHeight="1">
      <x:c r="A319" s="119" t="str">
        <x:v>CA-07</x:v>
      </x:c>
      <x:c r="B319" s="119" t="str">
        <x:v>Critério de aceite</x:v>
      </x:c>
      <x:c r="C319" s="119" t="str">
        <x:v>Aceite e implantação</x:v>
      </x:c>
      <x:c r="D319" s="119" t="str">
        <x:v>PDF, impressão, portal e responsividade foram verificados visualmente em ambientes suportados.</x:v>
      </x:c>
      <x:c r="E319" s="119" t="str">
        <x:v>Parcial</x:v>
      </x:c>
      <x:c r="F319" s="120" t="n">
        <x:f>IF(E319="Implementado",1,IF(E319="Parcial",0.5,0))</x:f>
        <x:v>0.5</x:v>
      </x:c>
      <x:c r="G319" s="119" t="str">
        <x:v>tests; .github/workflows/quality.yml; installer/NutriClinicPro.iss; src/nutri_app/ui/pages/deployment_page.py</x:v>
      </x:c>
      <x:c r="H319" s="119" t="str">
        <x:v>Critério ainda requer evidência formal de homologação/produção.</x:v>
      </x:c>
      <x:c r="I319" s="119" t="str">
        <x:v>P0</x:v>
      </x:c>
      <x:c r="J319" s="119" t="str">
        <x:v>Média</x:v>
      </x:c>
      <x:c r="K319" s="1"/>
    </x:row>
    <x:row r="320" ht="24" hidden="0" customHeight="1">
      <x:c r="A320" s="119" t="str">
        <x:v>CA-08</x:v>
      </x:c>
      <x:c r="B320" s="119" t="str">
        <x:v>Critério de aceite</x:v>
      </x:c>
      <x:c r="C320" s="119" t="str">
        <x:v>Aceite e implantação</x:v>
      </x:c>
      <x:c r="D320" s="119" t="str">
        <x:v>Instalação, atualização e reversão foram testadas em máquina limpa com backup anterior.</x:v>
      </x:c>
      <x:c r="E320" s="119" t="str">
        <x:v>Não identificado</x:v>
      </x:c>
      <x:c r="F320" s="120" t="n">
        <x:f>IF(E320="Implementado",1,IF(E320="Parcial",0.5,0))</x:f>
        <x:v>0</x:v>
      </x:c>
      <x:c r="G320" s="119" t="str">
        <x:v>tests; .github/workflows/quality.yml; installer/NutriClinicPro.iss; src/nutri_app/ui/pages/deployment_page.py</x:v>
      </x:c>
      <x:c r="H320" s="119" t="str">
        <x:v>Critério ainda requer evidência formal de homologação/produção.</x:v>
      </x:c>
      <x:c r="I320" s="119" t="str">
        <x:v>P0</x:v>
      </x:c>
      <x:c r="J320" s="119" t="str">
        <x:v>Média</x:v>
      </x:c>
      <x:c r="K320" s="1"/>
    </x:row>
    <x:row r="321" ht="24" hidden="0" customHeight="1">
      <x:c r="A321" s="119" t="str">
        <x:v>CA-09</x:v>
      </x:c>
      <x:c r="B321" s="119" t="str">
        <x:v>Critério de aceite</x:v>
      </x:c>
      <x:c r="C321" s="119" t="str">
        <x:v>Aceite e implantação</x:v>
      </x:c>
      <x:c r="D321" s="119" t="str">
        <x:v>Checklist de release não possui pendência crítica e registra responsáveis pelos aceites técnicos, clínicos e operacionais.</x:v>
      </x:c>
      <x:c r="E321" s="119" t="str">
        <x:v>Parcial</x:v>
      </x:c>
      <x:c r="F321" s="120" t="n">
        <x:f>IF(E321="Implementado",1,IF(E321="Parcial",0.5,0))</x:f>
        <x:v>0.5</x:v>
      </x:c>
      <x:c r="G321" s="119" t="str">
        <x:v>tests; .github/workflows/quality.yml; installer/NutriClinicPro.iss; src/nutri_app/ui/pages/deployment_page.py</x:v>
      </x:c>
      <x:c r="H321" s="119" t="str">
        <x:v>Critério ainda requer evidência formal de homologação/produção.</x:v>
      </x:c>
      <x:c r="I321" s="119" t="str">
        <x:v>P0</x:v>
      </x:c>
      <x:c r="J321" s="119" t="str">
        <x:v>Média</x:v>
      </x:c>
      <x:c r="K321" s="1"/>
    </x:row>
    <x:row r="322" ht="24" hidden="0" customHeight="1">
      <x:c r="A322" s="119" t="str">
        <x:v>CA-10</x:v>
      </x:c>
      <x:c r="B322" s="119" t="str">
        <x:v>Critério de aceite</x:v>
      </x:c>
      <x:c r="C322" s="119" t="str">
        <x:v>Aceite e implantação</x:v>
      </x:c>
      <x:c r="D322" s="119" t="str">
        <x:v>Manual do usuário, administração, política de privacidade, resposta a incidentes e notas de versão estão publicados.</x:v>
      </x:c>
      <x:c r="E322" s="119" t="str">
        <x:v>Parcial</x:v>
      </x:c>
      <x:c r="F322" s="120" t="n">
        <x:f>IF(E322="Implementado",1,IF(E322="Parcial",0.5,0))</x:f>
        <x:v>0.5</x:v>
      </x:c>
      <x:c r="G322" s="119" t="str">
        <x:v>tests; .github/workflows/quality.yml; installer/NutriClinicPro.iss; src/nutri_app/ui/pages/deployment_page.py</x:v>
      </x:c>
      <x:c r="H322" s="119" t="str">
        <x:v>Critério ainda requer evidência formal de homologação/produção.</x:v>
      </x:c>
      <x:c r="I322" s="119" t="str">
        <x:v>P0</x:v>
      </x:c>
      <x:c r="J322" s="119" t="str">
        <x:v>Média</x:v>
      </x:c>
      <x:c r="K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</x:row>
  </x:sheetData>
  <x:mergeCells>
    <x:mergeCell ref="A1:J2"/>
    <x:mergeCell ref="A3:J3"/>
  </x:mergeCells>
  <x:conditionalFormatting sqref="E5:E322">
    <x:cfRule type="containsText" dxfId="9" priority="1" operator="containsText" text="Implementado"/>
    <x:cfRule type="containsText" dxfId="10" priority="2" operator="containsText" text="Parcial"/>
    <x:cfRule type="containsText" dxfId="11" priority="3" operator="containsText" text="Não identificado"/>
  </x:conditionalFormatting>
  <x:conditionalFormatting sqref="I5:I322">
    <x:cfRule type="containsText" dxfId="12" priority="4" operator="containsText" text="P0"/>
    <x:cfRule type="containsText" dxfId="13" priority="5" operator="containsText" text="P1"/>
    <x:cfRule type="containsText" dxfId="14" priority="6" operator="containsText" text="P2"/>
  </x:conditionalFormatting>
  <x:dataValidations count="3">
    <x:dataValidation type="list" sqref="E5:E322">
      <x:formula1>"Implementado,Parcial,Não identificado"</x:formula1>
    </x:dataValidation>
    <x:dataValidation type="list" sqref="I5:I322">
      <x:formula1>"P0,P1,P2,—"</x:formula1>
    </x:dataValidation>
    <x:dataValidation type="list" sqref="J5:J322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a041a3c6f94a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30" hidden="0" customWidth="1"/>
    <x:col min="4" max="4" width="70" hidden="0" customWidth="1"/>
    <x:col min="5" max="5" width="18" hidden="0" customWidth="1"/>
    <x:col min="6" max="6" width="65" hidden="0" customWidth="1"/>
    <x:col min="7" max="7" width="55" hidden="0" customWidth="1"/>
    <x:col min="8" max="8" width="12" hidden="0" customWidth="1"/>
  </x:cols>
  <x:sheetData>
    <x:row r="1" ht="34" customHeight="1">
      <x:c r="A1" s="5" t="str">
        <x:v>Pendências priorizadas</x:v>
      </x:c>
      <x:c r="B1" s="5"/>
      <x:c r="C1" s="5"/>
      <x:c r="D1" s="5"/>
      <x:c r="E1" s="5"/>
      <x:c r="F1" s="5"/>
      <x:c r="G1" s="5"/>
      <x:c r="H1" s="5"/>
      <x:c r="I1" s="1"/>
      <x:c r="J1" s="1"/>
      <x:c r="K1" s="1"/>
    </x:row>
    <x:row r="2" ht="34" customHeight="1">
      <x:c r="A2" s="5"/>
      <x:c r="B2" s="5"/>
      <x:c r="C2" s="5"/>
      <x:c r="D2" s="5"/>
      <x:c r="E2" s="5"/>
      <x:c r="F2" s="5"/>
      <x:c r="G2" s="5"/>
      <x:c r="H2" s="5"/>
      <x:c r="I2" s="1"/>
      <x:c r="J2" s="1"/>
      <x:c r="K2" s="1"/>
    </x:row>
    <x:row r="3" ht="30" customHeight="1">
      <x:c r="A3" s="9" t="str">
        <x:v>Somente requisitos parciais ou sem evidência suficiente. Use filtros por prioridade, módulo e status.</x:v>
      </x:c>
      <x:c r="B3" s="9"/>
      <x:c r="C3" s="9"/>
      <x:c r="D3" s="9"/>
      <x:c r="E3" s="9"/>
      <x:c r="F3" s="9"/>
      <x:c r="G3" s="9"/>
      <x:c r="H3" s="9"/>
      <x:c r="I3" s="1"/>
      <x:c r="J3" s="1"/>
      <x:c r="K3" s="1"/>
    </x:row>
    <x:row r="4" ht="15" hidden="0" customHeight="1">
      <x:c r="A4" s="16" t="str">
        <x:v>Prioridade</x:v>
      </x:c>
      <x:c r="B4" s="41" t="str">
        <x:v>ID</x:v>
      </x:c>
      <x:c r="C4" s="41" t="str">
        <x:v>Módulo/área</x:v>
      </x:c>
      <x:c r="D4" s="41" t="str">
        <x:v>Requisito</x:v>
      </x:c>
      <x:c r="E4" s="41" t="str">
        <x:v>Status</x:v>
      </x:c>
      <x:c r="F4" s="41" t="str">
        <x:v>O que falta</x:v>
      </x:c>
      <x:c r="G4" s="41" t="str">
        <x:v>Evidência atual</x:v>
      </x:c>
      <x:c r="H4" s="17" t="str">
        <x:v>Confiança</x:v>
      </x:c>
      <x:c r="I4" s="1"/>
      <x:c r="J4" s="1"/>
      <x:c r="K4" s="1"/>
    </x:row>
    <x:row r="5" ht="24" hidden="0" customHeight="1">
      <x:c r="A5" s="119" t="str">
        <x:v>P0</x:v>
      </x:c>
      <x:c r="B5" s="119" t="str">
        <x:v>CA-01</x:v>
      </x:c>
      <x:c r="C5" s="119" t="str">
        <x:v>Aceite e implantação</x:v>
      </x:c>
      <x:c r="D5" s="119" t="str">
        <x:v>Requisitos funcionais possuem casos de teste, critérios de entrada/saída e evidência de execução.</x:v>
      </x:c>
      <x:c r="E5" s="119" t="str">
        <x:v>Parcial</x:v>
      </x:c>
      <x:c r="F5" s="119" t="str">
        <x:v>Critério ainda requer evidência formal de homologação/produção.</x:v>
      </x:c>
      <x:c r="G5" s="119" t="str">
        <x:v>tests; .github/workflows/quality.yml; installer/NutriClinicPro.iss; src/nutri_app/ui/pages/deployment_page.py</x:v>
      </x:c>
      <x:c r="H5" s="119" t="str">
        <x:v>Média</x:v>
      </x:c>
      <x:c r="I5" s="1"/>
      <x:c r="J5" s="1"/>
      <x:c r="K5" s="1"/>
    </x:row>
    <x:row r="6" ht="24" hidden="0" customHeight="1">
      <x:c r="A6" s="119" t="str">
        <x:v>P0</x:v>
      </x:c>
      <x:c r="B6" s="119" t="str">
        <x:v>CA-02</x:v>
      </x:c>
      <x:c r="C6" s="119" t="str">
        <x:v>Aceite e implantação</x:v>
      </x:c>
      <x:c r="D6" s="119" t="str">
        <x:v>Fórmulas e protocolos clínicos foram revisados por profissional responsável, com fonte, versão e casos de referência.</x:v>
      </x:c>
      <x:c r="E6" s="119" t="str">
        <x:v>Parcial</x:v>
      </x:c>
      <x:c r="F6" s="119" t="str">
        <x:v>Critério ainda requer evidência formal de homologação/produção.</x:v>
      </x:c>
      <x:c r="G6" s="119" t="str">
        <x:v>tests; .github/workflows/quality.yml; installer/NutriClinicPro.iss; src/nutri_app/ui/pages/deployment_page.py</x:v>
      </x:c>
      <x:c r="H6" s="119" t="str">
        <x:v>Média</x:v>
      </x:c>
      <x:c r="I6" s="1"/>
      <x:c r="J6" s="1"/>
      <x:c r="K6" s="1"/>
    </x:row>
    <x:row r="7" ht="24" hidden="0" customHeight="1">
      <x:c r="A7" s="119" t="str">
        <x:v>P0</x:v>
      </x:c>
      <x:c r="B7" s="119" t="str">
        <x:v>CA-04</x:v>
      </x:c>
      <x:c r="C7" s="119" t="str">
        <x:v>Aceite e implantação</x:v>
      </x:c>
      <x:c r="D7" s="119" t="str">
        <x:v>Perfis e permissões foram validados com dados representativos e tentativas de acesso indevido.</x:v>
      </x:c>
      <x:c r="E7" s="119" t="str">
        <x:v>Parcial</x:v>
      </x:c>
      <x:c r="F7" s="119" t="str">
        <x:v>Critério ainda requer evidência formal de homologação/produção.</x:v>
      </x:c>
      <x:c r="G7" s="119" t="str">
        <x:v>tests; .github/workflows/quality.yml; installer/NutriClinicPro.iss; src/nutri_app/ui/pages/deployment_page.py</x:v>
      </x:c>
      <x:c r="H7" s="119" t="str">
        <x:v>Média</x:v>
      </x:c>
      <x:c r="I7" s="1"/>
      <x:c r="J7" s="1"/>
      <x:c r="K7" s="1"/>
    </x:row>
    <x:row r="8" ht="24" hidden="0" customHeight="1">
      <x:c r="A8" s="119" t="str">
        <x:v>P0</x:v>
      </x:c>
      <x:c r="B8" s="119" t="str">
        <x:v>CA-05</x:v>
      </x:c>
      <x:c r="C8" s="119" t="str">
        <x:v>Aceite e implantação</x:v>
      </x:c>
      <x:c r="D8" s="119" t="str">
        <x:v>Fluxos LGPD, consentimento, exportação, retenção e anonimização foram revisados juridicamente e testados.</x:v>
      </x:c>
      <x:c r="E8" s="119" t="str">
        <x:v>Parcial</x:v>
      </x:c>
      <x:c r="F8" s="119" t="str">
        <x:v>Critério ainda requer evidência formal de homologação/produção.</x:v>
      </x:c>
      <x:c r="G8" s="119" t="str">
        <x:v>tests; .github/workflows/quality.yml; installer/NutriClinicPro.iss; src/nutri_app/ui/pages/deployment_page.py</x:v>
      </x:c>
      <x:c r="H8" s="119" t="str">
        <x:v>Média</x:v>
      </x:c>
      <x:c r="I8" s="1"/>
      <x:c r="J8" s="1"/>
      <x:c r="K8" s="1"/>
    </x:row>
    <x:row r="9" ht="24" hidden="0" customHeight="1">
      <x:c r="A9" s="119" t="str">
        <x:v>P0</x:v>
      </x:c>
      <x:c r="B9" s="119" t="str">
        <x:v>CA-06</x:v>
      </x:c>
      <x:c r="C9" s="119" t="str">
        <x:v>Aceite e implantação</x:v>
      </x:c>
      <x:c r="D9" s="119" t="str">
        <x:v>Integrações externas foram homologadas com credenciais de ambiente, erros, retries e idempotência.</x:v>
      </x:c>
      <x:c r="E9" s="119" t="str">
        <x:v>Não identificado</x:v>
      </x:c>
      <x:c r="F9" s="119" t="str">
        <x:v>Critério ainda requer evidência formal de homologação/produção.</x:v>
      </x:c>
      <x:c r="G9" s="119" t="str">
        <x:v>tests; .github/workflows/quality.yml; installer/NutriClinicPro.iss; src/nutri_app/ui/pages/deployment_page.py</x:v>
      </x:c>
      <x:c r="H9" s="119" t="str">
        <x:v>Média</x:v>
      </x:c>
      <x:c r="I9" s="1"/>
      <x:c r="J9" s="1"/>
      <x:c r="K9" s="1"/>
    </x:row>
    <x:row r="10" ht="24" hidden="0" customHeight="1">
      <x:c r="A10" s="119" t="str">
        <x:v>P0</x:v>
      </x:c>
      <x:c r="B10" s="119" t="str">
        <x:v>CA-07</x:v>
      </x:c>
      <x:c r="C10" s="119" t="str">
        <x:v>Aceite e implantação</x:v>
      </x:c>
      <x:c r="D10" s="119" t="str">
        <x:v>PDF, impressão, portal e responsividade foram verificados visualmente em ambientes suportados.</x:v>
      </x:c>
      <x:c r="E10" s="119" t="str">
        <x:v>Parcial</x:v>
      </x:c>
      <x:c r="F10" s="119" t="str">
        <x:v>Critério ainda requer evidência formal de homologação/produção.</x:v>
      </x:c>
      <x:c r="G10" s="119" t="str">
        <x:v>tests; .github/workflows/quality.yml; installer/NutriClinicPro.iss; src/nutri_app/ui/pages/deployment_page.py</x:v>
      </x:c>
      <x:c r="H10" s="119" t="str">
        <x:v>Média</x:v>
      </x:c>
      <x:c r="I10" s="1"/>
      <x:c r="J10" s="1"/>
      <x:c r="K10" s="1"/>
    </x:row>
    <x:row r="11" ht="24" hidden="0" customHeight="1">
      <x:c r="A11" s="119" t="str">
        <x:v>P0</x:v>
      </x:c>
      <x:c r="B11" s="119" t="str">
        <x:v>CA-08</x:v>
      </x:c>
      <x:c r="C11" s="119" t="str">
        <x:v>Aceite e implantação</x:v>
      </x:c>
      <x:c r="D11" s="119" t="str">
        <x:v>Instalação, atualização e reversão foram testadas em máquina limpa com backup anterior.</x:v>
      </x:c>
      <x:c r="E11" s="119" t="str">
        <x:v>Não identificado</x:v>
      </x:c>
      <x:c r="F11" s="119" t="str">
        <x:v>Critério ainda requer evidência formal de homologação/produção.</x:v>
      </x:c>
      <x:c r="G11" s="119" t="str">
        <x:v>tests; .github/workflows/quality.yml; installer/NutriClinicPro.iss; src/nutri_app/ui/pages/deployment_page.py</x:v>
      </x:c>
      <x:c r="H11" s="119" t="str">
        <x:v>Média</x:v>
      </x:c>
      <x:c r="I11" s="1"/>
      <x:c r="J11" s="1"/>
      <x:c r="K11" s="1"/>
    </x:row>
    <x:row r="12" ht="24" hidden="0" customHeight="1">
      <x:c r="A12" s="119" t="str">
        <x:v>P0</x:v>
      </x:c>
      <x:c r="B12" s="119" t="str">
        <x:v>CA-09</x:v>
      </x:c>
      <x:c r="C12" s="119" t="str">
        <x:v>Aceite e implantação</x:v>
      </x:c>
      <x:c r="D12" s="119" t="str">
        <x:v>Checklist de release não possui pendência crítica e registra responsáveis pelos aceites técnicos, clínicos e operacionais.</x:v>
      </x:c>
      <x:c r="E12" s="119" t="str">
        <x:v>Parcial</x:v>
      </x:c>
      <x:c r="F12" s="119" t="str">
        <x:v>Critério ainda requer evidência formal de homologação/produção.</x:v>
      </x:c>
      <x:c r="G12" s="119" t="str">
        <x:v>tests; .github/workflows/quality.yml; installer/NutriClinicPro.iss; src/nutri_app/ui/pages/deployment_page.py</x:v>
      </x:c>
      <x:c r="H12" s="119" t="str">
        <x:v>Média</x:v>
      </x:c>
      <x:c r="I12" s="1"/>
      <x:c r="J12" s="1"/>
      <x:c r="K12" s="1"/>
    </x:row>
    <x:row r="13" ht="24" hidden="0" customHeight="1">
      <x:c r="A13" s="119" t="str">
        <x:v>P0</x:v>
      </x:c>
      <x:c r="B13" s="119" t="str">
        <x:v>CA-10</x:v>
      </x:c>
      <x:c r="C13" s="119" t="str">
        <x:v>Aceite e implantação</x:v>
      </x:c>
      <x:c r="D13" s="119" t="str">
        <x:v>Manual do usuário, administração, política de privacidade, resposta a incidentes e notas de versão estão publicados.</x:v>
      </x:c>
      <x:c r="E13" s="119" t="str">
        <x:v>Parcial</x:v>
      </x:c>
      <x:c r="F13" s="119" t="str">
        <x:v>Critério ainda requer evidência formal de homologação/produção.</x:v>
      </x:c>
      <x:c r="G13" s="119" t="str">
        <x:v>tests; .github/workflows/quality.yml; installer/NutriClinicPro.iss; src/nutri_app/ui/pages/deployment_page.py</x:v>
      </x:c>
      <x:c r="H13" s="119" t="str">
        <x:v>Média</x:v>
      </x:c>
      <x:c r="I13" s="1"/>
      <x:c r="J13" s="1"/>
      <x:c r="K13" s="1"/>
    </x:row>
    <x:row r="14" ht="24" hidden="0" customHeight="1">
      <x:c r="A14" s="119" t="str">
        <x:v>P0</x:v>
      </x:c>
      <x:c r="B14" s="119" t="str">
        <x:v>DIR-13</x:v>
      </x:c>
      <x:c r="C14" s="119" t="str">
        <x:v>Segurança, LGPD e auditoria</x:v>
      </x:c>
      <x:c r="D14" s="119" t="str">
        <x:v>RBAC e escopo por unidade, função, paciente, módulo e ação, aplicados na interface e na camada de dados/API.</x:v>
      </x:c>
      <x:c r="E14" s="119" t="str">
        <x:v>Parcial</x:v>
      </x:c>
      <x:c r="F14" s="119" t="str">
        <x:v>A diretriz está parcialmente coberta e precisa de validação transversal.</x:v>
      </x:c>
      <x:c r="G14" s="119" t="str">
        <x:v>src/nutri_app/repositories/user_repository.py; src/nutri_app/repositories/audit_repository.py</x:v>
      </x:c>
      <x:c r="H14" s="119" t="str">
        <x:v>Média</x:v>
      </x:c>
      <x:c r="I14" s="1"/>
      <x:c r="J14" s="1"/>
      <x:c r="K14" s="1"/>
    </x:row>
    <x:row r="15" ht="24" hidden="0" customHeight="1">
      <x:c r="A15" s="119" t="str">
        <x:v>P0</x:v>
      </x:c>
      <x:c r="B15" s="119" t="str">
        <x:v>DIR-14</x:v>
      </x:c>
      <x:c r="C15" s="119" t="str">
        <x:v>Segurança, LGPD e auditoria</x:v>
      </x:c>
      <x:c r="D15" s="119" t="str">
        <x:v>Criptografia em trânsito e em repouso conforme arquitetura aprovada; senhas e segredos nunca em texto simples.</x:v>
      </x:c>
      <x:c r="E15" s="119" t="str">
        <x:v>Parcial</x:v>
      </x:c>
      <x:c r="F15" s="119" t="str">
        <x:v>A diretriz está parcialmente coberta e precisa de validação transversal.</x:v>
      </x:c>
      <x:c r="G15" s="119" t="str">
        <x:v>src/nutri_app/services/backup.py; src/nutri_app/services/integration.py</x:v>
      </x:c>
      <x:c r="H15" s="119" t="str">
        <x:v>Média</x:v>
      </x:c>
      <x:c r="I15" s="1"/>
      <x:c r="J15" s="1"/>
      <x:c r="K15" s="1"/>
    </x:row>
    <x:row r="16" ht="24" hidden="0" customHeight="1">
      <x:c r="A16" s="119" t="str">
        <x:v>P0</x:v>
      </x:c>
      <x:c r="B16" s="119" t="str">
        <x:v>DIR-15</x:v>
      </x:c>
      <x:c r="C16" s="119" t="str">
        <x:v>Segurança, LGPD e auditoria</x:v>
      </x:c>
      <x:c r="D16" s="119" t="str">
        <x:v>Consentimento e base legal versionados, finalidade, minimização, retenção, portabilidade, correção e anonimização controlada.</x:v>
      </x:c>
      <x:c r="E16" s="119" t="str">
        <x:v>Parcial</x:v>
      </x:c>
      <x:c r="F16" s="119" t="str">
        <x:v>A diretriz está parcialmente coberta e precisa de validação transversal.</x:v>
      </x:c>
      <x:c r="G16" s="119" t="str">
        <x:v>src/nutri_app/services/privacy.py; database/migrations/0021_security_governance.sql</x:v>
      </x:c>
      <x:c r="H16" s="119" t="str">
        <x:v>Média</x:v>
      </x:c>
      <x:c r="I16" s="1"/>
      <x:c r="J16" s="1"/>
      <x:c r="K16" s="1"/>
    </x:row>
    <x:row r="17" ht="24" hidden="0" customHeight="1">
      <x:c r="A17" s="119" t="str">
        <x:v>P0</x:v>
      </x:c>
      <x:c r="B17" s="119" t="str">
        <x:v>DIR-16</x:v>
      </x:c>
      <x:c r="C17" s="119" t="str">
        <x:v>Segurança, LGPD e auditoria</x:v>
      </x:c>
      <x:c r="D17" s="119" t="str">
        <x:v>Logs imutáveis para autenticação, consulta sensível, criação, alteração, exclusão lógica, exportação, assinatura e administração.</x:v>
      </x:c>
      <x:c r="E17" s="119" t="str">
        <x:v>Parcial</x:v>
      </x:c>
      <x:c r="F17" s="119" t="str">
        <x:v>A diretriz está parcialmente coberta e precisa de validação transversal.</x:v>
      </x:c>
      <x:c r="G17" s="119" t="str">
        <x:v>src/nutri_app/repositories/audit_repository.py</x:v>
      </x:c>
      <x:c r="H17" s="119" t="str">
        <x:v>Média</x:v>
      </x:c>
      <x:c r="I17" s="1"/>
      <x:c r="J17" s="1"/>
      <x:c r="K17" s="1"/>
    </x:row>
    <x:row r="18" ht="15" hidden="0" customHeight="1">
      <x:c r="A18" s="119" t="str">
        <x:v>P0</x:v>
      </x:c>
      <x:c r="B18" s="119" t="str">
        <x:v>DIR-18</x:v>
      </x:c>
      <x:c r="C18" s="119" t="str">
        <x:v>Segurança, LGPD e auditoria</x:v>
      </x:c>
      <x:c r="D18" s="119" t="str">
        <x:v>Resposta a incidentes com classificação, contenção, evidências, comunicação e ações corretivas.</x:v>
      </x:c>
      <x:c r="E18" s="119" t="str">
        <x:v>Não identificado</x:v>
      </x:c>
      <x:c r="F18" s="119" t="str">
        <x:v>Não foi identificada implementação operacional desta diretriz.</x:v>
      </x:c>
      <x:c r="G18" s="119" t="str">
        <x:v>docs/release_v1_0.md</x:v>
      </x:c>
      <x:c r="H18" s="119" t="str">
        <x:v>Média</x:v>
      </x:c>
      <x:c r="I18" s="1"/>
      <x:c r="J18" s="1"/>
      <x:c r="K18" s="1"/>
    </x:row>
    <x:row r="19" ht="24" hidden="0" customHeight="1">
      <x:c r="A19" s="119" t="str">
        <x:v>P0</x:v>
      </x:c>
      <x:c r="B19" s="119" t="str">
        <x:v>DIR-19</x:v>
      </x:c>
      <x:c r="C19" s="119" t="str">
        <x:v>Segurança, LGPD e auditoria</x:v>
      </x:c>
      <x:c r="D19" s="119" t="str">
        <x:v>Dados de saúde, financeiros e administrativos possuem níveis de acesso distintos e princípio do menor privilégio.</x:v>
      </x:c>
      <x:c r="E19" s="119" t="str">
        <x:v>Parcial</x:v>
      </x:c>
      <x:c r="F19" s="119" t="str">
        <x:v>A diretriz está parcialmente coberta e precisa de validação transversal.</x:v>
      </x:c>
      <x:c r="G19" s="119" t="str">
        <x:v>database/migrations/0002_seed_permissions.sql; src/nutri_app/repositories/user_repository.py</x:v>
      </x:c>
      <x:c r="H19" s="119" t="str">
        <x:v>Média</x:v>
      </x:c>
      <x:c r="I19" s="1"/>
      <x:c r="J19" s="1"/>
      <x:c r="K19" s="1"/>
    </x:row>
    <x:row r="20" ht="48" hidden="0" customHeight="1">
      <x:c r="A20" s="119" t="str">
        <x:v>P0</x:v>
      </x:c>
      <x:c r="B20" s="119" t="str">
        <x:v>RF-M02-01</x:v>
      </x:c>
      <x:c r="C20" s="119" t="str">
        <x:v>PACIENTES (PRONTUÁRIO E INTERNAÇÕES)</x:v>
      </x:c>
      <x:c r="D20" s="119" t="str">
        <x:v>Cadastro de dados pessoais, nome social, CPF, CNS, RG, nascimento, sexo biológico, gênero, contatos, endereço e responsável.</x:v>
      </x:c>
      <x:c r="E20" s="119" t="str">
        <x:v>Parcial</x:v>
      </x:c>
      <x:c r="F20" s="119" t="str">
        <x:v>Faltam prontuário/internação estruturados, unidade/leito/equipe, campos completos de identidade, unicidade de CPF/CNS e ações rápidas.</x:v>
      </x:c>
      <x:c r="G20" s="119" t="str">
        <x:v>src/nutri_app/ui/pages/patients_page.py; src/nutri_app/repositories/patient_repository.py; src/nutri_app/services/privacy.py; tests/test_patient_repository.py; tests/test_privacy.py</x:v>
      </x:c>
      <x:c r="H20" s="119" t="str">
        <x:v>Média</x:v>
      </x:c>
      <x:c r="I20" s="1"/>
      <x:c r="J20" s="1"/>
      <x:c r="K20" s="1"/>
    </x:row>
    <x:row r="21" ht="48" hidden="0" customHeight="1">
      <x:c r="A21" s="119" t="str">
        <x:v>P0</x:v>
      </x:c>
      <x:c r="B21" s="119" t="str">
        <x:v>RF-M02-02</x:v>
      </x:c>
      <x:c r="C21" s="119" t="str">
        <x:v>PACIENTES (PRONTUÁRIO E INTERNAÇÕES)</x:v>
      </x:c>
      <x:c r="D21" s="119" t="str">
        <x:v>Registro de prontuário, episódio de internação, unidade, leito, convênio, equipe responsável, diagnósticos e condição de alta.</x:v>
      </x:c>
      <x:c r="E21" s="119" t="str">
        <x:v>Não identificado</x:v>
      </x:c>
      <x:c r="F21" s="119" t="str">
        <x:v>Não foi identificada evidência suficiente para este requisito. Faltam prontuário/internação estruturados, unidade/leito/equipe, campos completos de identidade, unicidade de CPF/CNS e ações rápidas.</x:v>
      </x:c>
      <x:c r="G21" s="119" t="str">
        <x:v>src/nutri_app/ui/pages/patients_page.py; src/nutri_app/repositories/patient_repository.py; src/nutri_app/services/privacy.py; tests/test_patient_repository.py; tests/test_privacy.py</x:v>
      </x:c>
      <x:c r="H21" s="119" t="str">
        <x:v>Média</x:v>
      </x:c>
      <x:c r="I21" s="1"/>
      <x:c r="J21" s="1"/>
      <x:c r="K21" s="1"/>
    </x:row>
    <x:row r="22" ht="48" hidden="0" customHeight="1">
      <x:c r="A22" s="119" t="str">
        <x:v>P0</x:v>
      </x:c>
      <x:c r="B22" s="119" t="str">
        <x:v>RF-M02-03</x:v>
      </x:c>
      <x:c r="C22" s="119" t="str">
        <x:v>PACIENTES (PRONTUÁRIO E INTERNAÇÕES)</x:v>
      </x:c>
      <x:c r="D22" s="119" t="str">
        <x:v>Pesquisa e filtros por nome, documento, prontuário, unidade, leito, status, risco e responsável.</x:v>
      </x:c>
      <x:c r="E22" s="119" t="str">
        <x:v>Parcial</x:v>
      </x:c>
      <x:c r="F22" s="119" t="str">
        <x:v>Faltam prontuário/internação estruturados, unidade/leito/equipe, campos completos de identidade, unicidade de CPF/CNS e ações rápidas.</x:v>
      </x:c>
      <x:c r="G22" s="119" t="str">
        <x:v>src/nutri_app/ui/pages/patients_page.py; src/nutri_app/repositories/patient_repository.py; src/nutri_app/services/privacy.py; tests/test_patient_repository.py; tests/test_privacy.py</x:v>
      </x:c>
      <x:c r="H22" s="119" t="str">
        <x:v>Média</x:v>
      </x:c>
      <x:c r="I22" s="1"/>
      <x:c r="J22" s="1"/>
      <x:c r="K22" s="1"/>
    </x:row>
    <x:row r="23" ht="48" hidden="0" customHeight="1">
      <x:c r="A23" s="119" t="str">
        <x:v>P0</x:v>
      </x:c>
      <x:c r="B23" s="119" t="str">
        <x:v>RF-M02-04</x:v>
      </x:c>
      <x:c r="C23" s="119" t="str">
        <x:v>PACIENTES (PRONTUÁRIO E INTERNAÇÕES)</x:v>
      </x:c>
      <x:c r="D23" s="119" t="str">
        <x:v>Histórico de múltiplas internações, atendimentos ambulatoriais, altas e reinternações preservando vínculo com as avaliações.</x:v>
      </x:c>
      <x:c r="E23" s="119" t="str">
        <x:v>Parcial</x:v>
      </x:c>
      <x:c r="F23" s="119" t="str">
        <x:v>Faltam prontuário/internação estruturados, unidade/leito/equipe, campos completos de identidade, unicidade de CPF/CNS e ações rápidas.</x:v>
      </x:c>
      <x:c r="G23" s="119" t="str">
        <x:v>src/nutri_app/ui/pages/patients_page.py; src/nutri_app/repositories/patient_repository.py; src/nutri_app/services/privacy.py; tests/test_patient_repository.py; tests/test_privacy.py</x:v>
      </x:c>
      <x:c r="H23" s="119" t="str">
        <x:v>Média</x:v>
      </x:c>
      <x:c r="I23" s="1"/>
      <x:c r="J23" s="1"/>
      <x:c r="K23" s="1"/>
    </x:row>
    <x:row r="24" ht="48" hidden="0" customHeight="1">
      <x:c r="A24" s="119" t="str">
        <x:v>P0</x:v>
      </x:c>
      <x:c r="B24" s="119" t="str">
        <x:v>RF-M02-05</x:v>
      </x:c>
      <x:c r="C24" s="119" t="str">
        <x:v>PACIENTES (PRONTUÁRIO E INTERNAÇÕES)</x:v>
      </x:c>
      <x:c r="D24" s="119" t="str">
        <x:v>Ações rápidas para abrir avaliação, exames, evolução, prescrições, agenda, financeiro e documentos do paciente.</x:v>
      </x:c>
      <x:c r="E24" s="119" t="str">
        <x:v>Não identificado</x:v>
      </x:c>
      <x:c r="F24" s="119" t="str">
        <x:v>Não foi identificada evidência suficiente para este requisito. Faltam prontuário/internação estruturados, unidade/leito/equipe, campos completos de identidade, unicidade de CPF/CNS e ações rápidas.</x:v>
      </x:c>
      <x:c r="G24" s="119" t="str">
        <x:v>src/nutri_app/ui/pages/patients_page.py; src/nutri_app/repositories/patient_repository.py; src/nutri_app/services/privacy.py; tests/test_patient_repository.py; tests/test_privacy.py</x:v>
      </x:c>
      <x:c r="H24" s="119" t="str">
        <x:v>Média</x:v>
      </x:c>
      <x:c r="I24" s="1"/>
      <x:c r="J24" s="1"/>
      <x:c r="K24" s="1"/>
    </x:row>
    <x:row r="25" ht="48" hidden="0" customHeight="1">
      <x:c r="A25" s="119" t="str">
        <x:v>P0</x:v>
      </x:c>
      <x:c r="B25" s="119" t="str">
        <x:v>RF-M02-06</x:v>
      </x:c>
      <x:c r="C25" s="119" t="str">
        <x:v>PACIENTES (PRONTUÁRIO E INTERNAÇÕES)</x:v>
      </x:c>
      <x:c r="D25" s="119" t="str">
        <x:v>Consentimento, preferências de comunicação, exportação de dados e solicitações de privacidade vinculados ao cadastro.</x:v>
      </x:c>
      <x:c r="E25" s="119" t="str">
        <x:v>Parcial</x:v>
      </x:c>
      <x:c r="F25" s="119" t="str">
        <x:v>Faltam prontuário/internação estruturados, unidade/leito/equipe, campos completos de identidade, unicidade de CPF/CNS e ações rápidas.</x:v>
      </x:c>
      <x:c r="G25" s="119" t="str">
        <x:v>src/nutri_app/ui/pages/patients_page.py; src/nutri_app/repositories/patient_repository.py; src/nutri_app/services/privacy.py; tests/test_patient_repository.py; tests/test_privacy.py</x:v>
      </x:c>
      <x:c r="H25" s="119" t="str">
        <x:v>Média</x:v>
      </x:c>
      <x:c r="I25" s="1"/>
      <x:c r="J25" s="1"/>
      <x:c r="K25" s="1"/>
    </x:row>
    <x:row r="26" ht="48" hidden="0" customHeight="1">
      <x:c r="A26" s="119" t="str">
        <x:v>P0</x:v>
      </x:c>
      <x:c r="B26" s="119" t="str">
        <x:v>RF-M04-01</x:v>
      </x:c>
      <x:c r="C26" s="119" t="str">
        <x:v>ANAMNESE</x:v>
      </x:c>
      <x:c r="D26" s="119" t="str">
        <x:v>História da doença atual, diagnósticos, tratamentos, internações, cirurgias e suporte terapêutico.</x:v>
      </x:c>
      <x:c r="E26" s="119" t="str">
        <x:v>Parcial</x:v>
      </x:c>
      <x:c r="F26" s="119" t="str">
        <x:v>Faltam dados clínicos estruturados mais completos, interações, reações/alergias com destaque transversal e lógica condicional versionada.</x:v>
      </x:c>
      <x:c r="G26" s="119" t="str">
        <x:v>src/nutri_app/ui/anamnesis_form.py; src/nutri_app/ui/pages/anamnesis_page.py; src/nutri_app/repositories/anamnesis_repository.py; tests/test_anamnesis_repository.py</x:v>
      </x:c>
      <x:c r="H26" s="119" t="str">
        <x:v>Média</x:v>
      </x:c>
      <x:c r="I26" s="1"/>
      <x:c r="J26" s="1"/>
      <x:c r="K26" s="1"/>
    </x:row>
    <x:row r="27" ht="48" hidden="0" customHeight="1">
      <x:c r="A27" s="119" t="str">
        <x:v>P0</x:v>
      </x:c>
      <x:c r="B27" s="119" t="str">
        <x:v>RF-M04-02</x:v>
      </x:c>
      <x:c r="C27" s="119" t="str">
        <x:v>ANAMNESE</x:v>
      </x:c>
      <x:c r="D27" s="119" t="str">
        <x:v>Comorbidades, antecedentes familiares, medicamentos, suplementos e possíveis interações relevantes.</x:v>
      </x:c>
      <x:c r="E27" s="119" t="str">
        <x:v>Parcial</x:v>
      </x:c>
      <x:c r="F27" s="119" t="str">
        <x:v>Faltam dados clínicos estruturados mais completos, interações, reações/alergias com destaque transversal e lógica condicional versionada.</x:v>
      </x:c>
      <x:c r="G27" s="119" t="str">
        <x:v>src/nutri_app/ui/anamnesis_form.py; src/nutri_app/ui/pages/anamnesis_page.py; src/nutri_app/repositories/anamnesis_repository.py; tests/test_anamnesis_repository.py</x:v>
      </x:c>
      <x:c r="H27" s="119" t="str">
        <x:v>Média</x:v>
      </x:c>
      <x:c r="I27" s="1"/>
      <x:c r="J27" s="1"/>
      <x:c r="K27" s="1"/>
    </x:row>
    <x:row r="28" ht="48" hidden="0" customHeight="1">
      <x:c r="A28" s="119" t="str">
        <x:v>P0</x:v>
      </x:c>
      <x:c r="B28" s="119" t="str">
        <x:v>RF-M04-03</x:v>
      </x:c>
      <x:c r="C28" s="119" t="str">
        <x:v>ANAMNESE</x:v>
      </x:c>
      <x:c r="D28" s="119" t="str">
        <x:v>Sintomas gastrointestinais e sinais relacionados à alimentação com frequência, duração e intensidade.</x:v>
      </x:c>
      <x:c r="E28" s="119" t="str">
        <x:v>Parcial</x:v>
      </x:c>
      <x:c r="F28" s="119" t="str">
        <x:v>Faltam dados clínicos estruturados mais completos, interações, reações/alergias com destaque transversal e lógica condicional versionada.</x:v>
      </x:c>
      <x:c r="G28" s="119" t="str">
        <x:v>src/nutri_app/ui/anamnesis_form.py; src/nutri_app/ui/pages/anamnesis_page.py; src/nutri_app/repositories/anamnesis_repository.py; tests/test_anamnesis_repository.py</x:v>
      </x:c>
      <x:c r="H28" s="119" t="str">
        <x:v>Média</x:v>
      </x:c>
      <x:c r="I28" s="1"/>
      <x:c r="J28" s="1"/>
      <x:c r="K28" s="1"/>
    </x:row>
    <x:row r="29" ht="48" hidden="0" customHeight="1">
      <x:c r="A29" s="119" t="str">
        <x:v>P0</x:v>
      </x:c>
      <x:c r="B29" s="119" t="str">
        <x:v>RF-M04-04</x:v>
      </x:c>
      <x:c r="C29" s="119" t="str">
        <x:v>ANAMNESE</x:v>
      </x:c>
      <x:c r="D29" s="119" t="str">
        <x:v>Apetite, aceitação, alteração ponderal, rotina alimentar, consumo hídrico, mastigação e necessidades de ajuda.</x:v>
      </x:c>
      <x:c r="E29" s="119" t="str">
        <x:v>Parcial</x:v>
      </x:c>
      <x:c r="F29" s="119" t="str">
        <x:v>Faltam dados clínicos estruturados mais completos, interações, reações/alergias com destaque transversal e lógica condicional versionada.</x:v>
      </x:c>
      <x:c r="G29" s="119" t="str">
        <x:v>src/nutri_app/ui/anamnesis_form.py; src/nutri_app/ui/pages/anamnesis_page.py; src/nutri_app/repositories/anamnesis_repository.py; tests/test_anamnesis_repository.py</x:v>
      </x:c>
      <x:c r="H29" s="119" t="str">
        <x:v>Média</x:v>
      </x:c>
      <x:c r="I29" s="1"/>
      <x:c r="J29" s="1"/>
      <x:c r="K29" s="1"/>
    </x:row>
    <x:row r="30" ht="48" hidden="0" customHeight="1">
      <x:c r="A30" s="119" t="str">
        <x:v>P0</x:v>
      </x:c>
      <x:c r="B30" s="119" t="str">
        <x:v>RF-M04-05</x:v>
      </x:c>
      <x:c r="C30" s="119" t="str">
        <x:v>ANAMNESE</x:v>
      </x:c>
      <x:c r="D30" s="119" t="str">
        <x:v>Hábitos e estilo de vida: tabagismo, etilismo, atividade física, sono, aspectos sociais e barreiras à adesão.</x:v>
      </x:c>
      <x:c r="E30" s="119" t="str">
        <x:v>Parcial</x:v>
      </x:c>
      <x:c r="F30" s="119" t="str">
        <x:v>Faltam dados clínicos estruturados mais completos, interações, reações/alergias com destaque transversal e lógica condicional versionada.</x:v>
      </x:c>
      <x:c r="G30" s="119" t="str">
        <x:v>src/nutri_app/ui/anamnesis_form.py; src/nutri_app/ui/pages/anamnesis_page.py; src/nutri_app/repositories/anamnesis_repository.py; tests/test_anamnesis_repository.py</x:v>
      </x:c>
      <x:c r="H30" s="119" t="str">
        <x:v>Média</x:v>
      </x:c>
      <x:c r="I30" s="1"/>
      <x:c r="J30" s="1"/>
      <x:c r="K30" s="1"/>
    </x:row>
    <x:row r="31" ht="48" hidden="0" customHeight="1">
      <x:c r="A31" s="119" t="str">
        <x:v>P0</x:v>
      </x:c>
      <x:c r="B31" s="119" t="str">
        <x:v>RF-M04-06</x:v>
      </x:c>
      <x:c r="C31" s="119" t="str">
        <x:v>ANAMNESE</x:v>
      </x:c>
      <x:c r="D31" s="119" t="str">
        <x:v>Alergias, intolerâncias, restrições, reação associada e destaque de risco no prontuário.</x:v>
      </x:c>
      <x:c r="E31" s="119" t="str">
        <x:v>Parcial</x:v>
      </x:c>
      <x:c r="F31" s="119" t="str">
        <x:v>Faltam dados clínicos estruturados mais completos, interações, reações/alergias com destaque transversal e lógica condicional versionada.</x:v>
      </x:c>
      <x:c r="G31" s="119" t="str">
        <x:v>src/nutri_app/ui/anamnesis_form.py; src/nutri_app/ui/pages/anamnesis_page.py; src/nutri_app/repositories/anamnesis_repository.py; tests/test_anamnesis_repository.py</x:v>
      </x:c>
      <x:c r="H31" s="119" t="str">
        <x:v>Média</x:v>
      </x:c>
      <x:c r="I31" s="1"/>
      <x:c r="J31" s="1"/>
      <x:c r="K31" s="1"/>
    </x:row>
    <x:row r="32" ht="60" hidden="0" customHeight="1">
      <x:c r="A32" s="119" t="str">
        <x:v>P0</x:v>
      </x:c>
      <x:c r="B32" s="119" t="str">
        <x:v>RF-M05-01</x:v>
      </x:c>
      <x:c r="C32" s="119" t="str">
        <x:v>AVALIAÇÃO ANTROPOMÉTRICA</x:v>
      </x:c>
      <x:c r="D32" s="119" t="str">
        <x:v>Peso e altura medidos, informados ou estimados, incluindo peso habitual, seco, ajustado e presença de edema.</x:v>
      </x:c>
      <x:c r="E32" s="119" t="str">
        <x:v>Parcial</x:v>
      </x:c>
      <x:c r="F32" s="119" t="str">
        <x:v>Faltam metadados de método/equipamento/lado, bioimpedância bruta completa e governança/memória versionada de todas as fórmulas.</x:v>
      </x:c>
      <x:c r="G32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32" s="119" t="str">
        <x:v>Média</x:v>
      </x:c>
      <x:c r="I32" s="1"/>
      <x:c r="J32" s="1"/>
      <x:c r="K32" s="1"/>
    </x:row>
    <x:row r="33" ht="60" hidden="0" customHeight="1">
      <x:c r="A33" s="119" t="str">
        <x:v>P0</x:v>
      </x:c>
      <x:c r="B33" s="119" t="str">
        <x:v>RF-M05-02</x:v>
      </x:c>
      <x:c r="C33" s="119" t="str">
        <x:v>AVALIAÇÃO ANTROPOMÉTRICA</x:v>
      </x:c>
      <x:c r="D33" s="119" t="str">
        <x:v>Circunferências, dobras cutâneas, diâmetros e medidas funcionais com unidade, lado, equipamento e responsável.</x:v>
      </x:c>
      <x:c r="E33" s="119" t="str">
        <x:v>Parcial</x:v>
      </x:c>
      <x:c r="F33" s="119" t="str">
        <x:v>Faltam metadados de método/equipamento/lado, bioimpedância bruta completa e governança/memória versionada de todas as fórmulas.</x:v>
      </x:c>
      <x:c r="G33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33" s="119" t="str">
        <x:v>Média</x:v>
      </x:c>
      <x:c r="I33" s="1"/>
      <x:c r="J33" s="1"/>
      <x:c r="K33" s="1"/>
    </x:row>
    <x:row r="34" ht="60" hidden="0" customHeight="1">
      <x:c r="A34" s="119" t="str">
        <x:v>P0</x:v>
      </x:c>
      <x:c r="B34" s="119" t="str">
        <x:v>RF-M05-03</x:v>
      </x:c>
      <x:c r="C34" s="119" t="str">
        <x:v>AVALIAÇÃO ANTROPOMÉTRICA</x:v>
      </x:c>
      <x:c r="D34" s="119" t="str">
        <x:v>Bioimpedância com resistência, reactância, ângulo de fase, água corporal, massa gorda e massa livre de gordura.</x:v>
      </x:c>
      <x:c r="E34" s="119" t="str">
        <x:v>Parcial</x:v>
      </x:c>
      <x:c r="F34" s="119" t="str">
        <x:v>Faltam metadados de método/equipamento/lado, bioimpedância bruta completa e governança/memória versionada de todas as fórmulas.</x:v>
      </x:c>
      <x:c r="G34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34" s="119" t="str">
        <x:v>Média</x:v>
      </x:c>
      <x:c r="I34" s="1"/>
      <x:c r="J34" s="1"/>
      <x:c r="K34" s="1"/>
    </x:row>
    <x:row r="35" ht="60" hidden="0" customHeight="1">
      <x:c r="A35" s="119" t="str">
        <x:v>P0</x:v>
      </x:c>
      <x:c r="B35" s="119" t="str">
        <x:v>RF-M05-05</x:v>
      </x:c>
      <x:c r="C35" s="119" t="str">
        <x:v>AVALIAÇÃO ANTROPOMÉTRICA</x:v>
      </x:c>
      <x:c r="D35" s="119" t="str">
        <x:v>Equações de estimativa e composição corporal selecionadas por idade, sexo, condição e protocolo versionado.</x:v>
      </x:c>
      <x:c r="E35" s="119" t="str">
        <x:v>Parcial</x:v>
      </x:c>
      <x:c r="F35" s="119" t="str">
        <x:v>Faltam metadados de método/equipamento/lado, bioimpedância bruta completa e governança/memória versionada de todas as fórmulas.</x:v>
      </x:c>
      <x:c r="G35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35" s="119" t="str">
        <x:v>Média</x:v>
      </x:c>
      <x:c r="I35" s="1"/>
      <x:c r="J35" s="1"/>
      <x:c r="K35" s="1"/>
    </x:row>
    <x:row r="36" ht="24" hidden="0" customHeight="1">
      <x:c r="A36" s="119" t="str">
        <x:v>P0</x:v>
      </x:c>
      <x:c r="B36" s="119" t="str">
        <x:v>RF-M06-01</x:v>
      </x:c>
      <x:c r="C36" s="119" t="str">
        <x:v>AVALIAÇÃO CLÍNICA</x:v>
      </x:c>
      <x:c r="D36" s="119" t="str">
        <x:v>Estado geral, consciência, desempenho funcional, mobilidade e capacidade para atividades.</x:v>
      </x:c>
      <x:c r="E36" s="119" t="str">
        <x:v>Parcial</x:v>
      </x:c>
      <x:c r="F36" s="119" t="str">
        <x:v>Falta módulo dedicado de exame físico nutricional com regiões anatômicas, estados semânticos, imagens, comparação e vínculo formal com diagnóstico/evolução.</x:v>
      </x:c>
      <x:c r="G36" s="119" t="str">
        <x:v>src/nutri_app/services/advanced_clinical.py; src/nutri_app/ui/pages/advanced_module_page.py</x:v>
      </x:c>
      <x:c r="H36" s="119" t="str">
        <x:v>Média</x:v>
      </x:c>
      <x:c r="I36" s="1"/>
      <x:c r="J36" s="1"/>
      <x:c r="K36" s="1"/>
    </x:row>
    <x:row r="37" ht="24" hidden="0" customHeight="1">
      <x:c r="A37" s="119" t="str">
        <x:v>P0</x:v>
      </x:c>
      <x:c r="B37" s="119" t="str">
        <x:v>RF-M06-02</x:v>
      </x:c>
      <x:c r="C37" s="119" t="str">
        <x:v>AVALIAÇÃO CLÍNICA</x:v>
      </x:c>
      <x:c r="D37" s="119" t="str">
        <x:v>Edema, ascite, hidratação, balanço hídrico e alterações de volume com localização e graduação.</x:v>
      </x:c>
      <x:c r="E37" s="119" t="str">
        <x:v>Parcial</x:v>
      </x:c>
      <x:c r="F37" s="119" t="str">
        <x:v>Falta módulo dedicado de exame físico nutricional com regiões anatômicas, estados semânticos, imagens, comparação e vínculo formal com diagnóstico/evolução.</x:v>
      </x:c>
      <x:c r="G37" s="119" t="str">
        <x:v>src/nutri_app/services/advanced_clinical.py; src/nutri_app/ui/pages/advanced_module_page.py</x:v>
      </x:c>
      <x:c r="H37" s="119" t="str">
        <x:v>Média</x:v>
      </x:c>
      <x:c r="I37" s="1"/>
      <x:c r="J37" s="1"/>
      <x:c r="K37" s="1"/>
    </x:row>
    <x:row r="38" ht="24" hidden="0" customHeight="1">
      <x:c r="A38" s="119" t="str">
        <x:v>P0</x:v>
      </x:c>
      <x:c r="B38" s="119" t="str">
        <x:v>RF-M06-03</x:v>
      </x:c>
      <x:c r="C38" s="119" t="str">
        <x:v>AVALIAÇÃO CLÍNICA</x:v>
      </x:c>
      <x:c r="D38" s="119" t="str">
        <x:v>Inspeção de massa muscular e gordura subcutânea por regiões anatômicas e escala configurada.</x:v>
      </x:c>
      <x:c r="E38" s="119" t="str">
        <x:v>Parcial</x:v>
      </x:c>
      <x:c r="F38" s="119" t="str">
        <x:v>Falta módulo dedicado de exame físico nutricional com regiões anatômicas, estados semânticos, imagens, comparação e vínculo formal com diagnóstico/evolução.</x:v>
      </x:c>
      <x:c r="G38" s="119" t="str">
        <x:v>src/nutri_app/services/advanced_clinical.py; src/nutri_app/ui/pages/advanced_module_page.py</x:v>
      </x:c>
      <x:c r="H38" s="119" t="str">
        <x:v>Média</x:v>
      </x:c>
      <x:c r="I38" s="1"/>
      <x:c r="J38" s="1"/>
      <x:c r="K38" s="1"/>
    </x:row>
    <x:row r="39" ht="24" hidden="0" customHeight="1">
      <x:c r="A39" s="119" t="str">
        <x:v>P0</x:v>
      </x:c>
      <x:c r="B39" s="119" t="str">
        <x:v>RF-M06-04</x:v>
      </x:c>
      <x:c r="C39" s="119" t="str">
        <x:v>AVALIAÇÃO CLÍNICA</x:v>
      </x:c>
      <x:c r="D39" s="119" t="str">
        <x:v>Pele, cabelos, unhas, cavidade oral, dentição, deglutição, feridas e lesões por pressão.</x:v>
      </x:c>
      <x:c r="E39" s="119" t="str">
        <x:v>Parcial</x:v>
      </x:c>
      <x:c r="F39" s="119" t="str">
        <x:v>Falta módulo dedicado de exame físico nutricional com regiões anatômicas, estados semânticos, imagens, comparação e vínculo formal com diagnóstico/evolução.</x:v>
      </x:c>
      <x:c r="G39" s="119" t="str">
        <x:v>src/nutri_app/services/advanced_clinical.py; src/nutri_app/ui/pages/advanced_module_page.py</x:v>
      </x:c>
      <x:c r="H39" s="119" t="str">
        <x:v>Média</x:v>
      </x:c>
      <x:c r="I39" s="1"/>
      <x:c r="J39" s="1"/>
      <x:c r="K39" s="1"/>
    </x:row>
    <x:row r="40" ht="36" hidden="0" customHeight="1">
      <x:c r="A40" s="119" t="str">
        <x:v>P0</x:v>
      </x:c>
      <x:c r="B40" s="119" t="str">
        <x:v>RF-M06-05</x:v>
      </x:c>
      <x:c r="C40" s="119" t="str">
        <x:v>AVALIAÇÃO CLÍNICA</x:v>
      </x:c>
      <x:c r="D40" s="119" t="str">
        <x:v>Registro de sinais, sintomas, observações, imagens autorizadas e comparação entre avaliações.</x:v>
      </x:c>
      <x:c r="E40" s="119" t="str">
        <x:v>Não identificado</x:v>
      </x:c>
      <x:c r="F40" s="119" t="str">
        <x:v>Não foi identificada evidência suficiente para este requisito. Falta módulo dedicado de exame físico nutricional com regiões anatômicas, estados semânticos, imagens, comparação e vínculo formal com diagnóstico/evolução.</x:v>
      </x:c>
      <x:c r="G40" s="119" t="str">
        <x:v>src/nutri_app/services/advanced_clinical.py; src/nutri_app/ui/pages/advanced_module_page.py</x:v>
      </x:c>
      <x:c r="H40" s="119" t="str">
        <x:v>Média</x:v>
      </x:c>
      <x:c r="I40" s="1"/>
      <x:c r="J40" s="1"/>
      <x:c r="K40" s="1"/>
    </x:row>
    <x:row r="41" ht="24" hidden="0" customHeight="1">
      <x:c r="A41" s="119" t="str">
        <x:v>P0</x:v>
      </x:c>
      <x:c r="B41" s="119" t="str">
        <x:v>RF-M06-06</x:v>
      </x:c>
      <x:c r="C41" s="119" t="str">
        <x:v>AVALIAÇÃO CLÍNICA</x:v>
      </x:c>
      <x:c r="D41" s="119" t="str">
        <x:v>Resumo dos achados com destaque visual de gravidade e vínculo com diagnóstico e evolução.</x:v>
      </x:c>
      <x:c r="E41" s="119" t="str">
        <x:v>Parcial</x:v>
      </x:c>
      <x:c r="F41" s="119" t="str">
        <x:v>Falta módulo dedicado de exame físico nutricional com regiões anatômicas, estados semânticos, imagens, comparação e vínculo formal com diagnóstico/evolução.</x:v>
      </x:c>
      <x:c r="G41" s="119" t="str">
        <x:v>src/nutri_app/services/advanced_clinical.py; src/nutri_app/ui/pages/advanced_module_page.py</x:v>
      </x:c>
      <x:c r="H41" s="119" t="str">
        <x:v>Média</x:v>
      </x:c>
      <x:c r="I41" s="1"/>
      <x:c r="J41" s="1"/>
      <x:c r="K41" s="1"/>
    </x:row>
    <x:row r="42" ht="48" hidden="0" customHeight="1">
      <x:c r="A42" s="119" t="str">
        <x:v>P0</x:v>
      </x:c>
      <x:c r="B42" s="119" t="str">
        <x:v>RF-M07-01</x:v>
      </x:c>
      <x:c r="C42" s="119" t="str">
        <x:v>EXAMES LABORATORIAIS</x:v>
      </x:c>
      <x:c r="D42" s="119" t="str">
        <x:v>Painéis hematológico, glicêmico, lipídico, renal, hepático, inflamatório, eletrolítico, mineral, vitamínico e personalizados.</x:v>
      </x:c>
      <x:c r="E42" s="119" t="str">
        <x:v>Parcial</x:v>
      </x:c>
      <x:c r="F42" s="119" t="str">
        <x:v>Faltam painéis completos, anexos, referências versionadas por perfil, deduplicação robusta e correções por nova versão imutável.</x:v>
      </x:c>
      <x:c r="G42" s="119" t="str">
        <x:v>src/nutri_app/ui/pages/laboratory_exams_page.py; src/nutri_app/repositories/laboratory_exam_repository.py; src/nutri_app/services/integration.py; tests/test_laboratory_exam.py; tests/test_integrations.py</x:v>
      </x:c>
      <x:c r="H42" s="119" t="str">
        <x:v>Média</x:v>
      </x:c>
      <x:c r="I42" s="1"/>
      <x:c r="J42" s="1"/>
      <x:c r="K42" s="1"/>
    </x:row>
    <x:row r="43" ht="48" hidden="0" customHeight="1">
      <x:c r="A43" s="119" t="str">
        <x:v>P0</x:v>
      </x:c>
      <x:c r="B43" s="119" t="str">
        <x:v>RF-M07-02</x:v>
      </x:c>
      <x:c r="C43" s="119" t="str">
        <x:v>EXAMES LABORATORIAIS</x:v>
      </x:c>
      <x:c r="D43" s="119" t="str">
        <x:v>Registro de exame, data, laboratório, amostra, resultado, unidade, faixa de referência, observação e anexo.</x:v>
      </x:c>
      <x:c r="E43" s="119" t="str">
        <x:v>Parcial</x:v>
      </x:c>
      <x:c r="F43" s="119" t="str">
        <x:v>Faltam painéis completos, anexos, referências versionadas por perfil, deduplicação robusta e correções por nova versão imutável.</x:v>
      </x:c>
      <x:c r="G43" s="119" t="str">
        <x:v>src/nutri_app/ui/pages/laboratory_exams_page.py; src/nutri_app/repositories/laboratory_exam_repository.py; src/nutri_app/services/integration.py; tests/test_laboratory_exam.py; tests/test_integrations.py</x:v>
      </x:c>
      <x:c r="H43" s="119" t="str">
        <x:v>Média</x:v>
      </x:c>
      <x:c r="I43" s="1"/>
      <x:c r="J43" s="1"/>
      <x:c r="K43" s="1"/>
    </x:row>
    <x:row r="44" ht="48" hidden="0" customHeight="1">
      <x:c r="A44" s="119" t="str">
        <x:v>P0</x:v>
      </x:c>
      <x:c r="B44" s="119" t="str">
        <x:v>RF-M07-03</x:v>
      </x:c>
      <x:c r="C44" s="119" t="str">
        <x:v>EXAMES LABORATORIAIS</x:v>
      </x:c>
      <x:c r="D44" s="119" t="str">
        <x:v>Importação manual, CSV/JSON e integração homologada com validação de paciente, unidade e duplicidade.</x:v>
      </x:c>
      <x:c r="E44" s="119" t="str">
        <x:v>Parcial</x:v>
      </x:c>
      <x:c r="F44" s="119" t="str">
        <x:v>Faltam painéis completos, anexos, referências versionadas por perfil, deduplicação robusta e correções por nova versão imutável.</x:v>
      </x:c>
      <x:c r="G44" s="119" t="str">
        <x:v>src/nutri_app/ui/pages/laboratory_exams_page.py; src/nutri_app/repositories/laboratory_exam_repository.py; src/nutri_app/services/integration.py; tests/test_laboratory_exam.py; tests/test_integrations.py</x:v>
      </x:c>
      <x:c r="H44" s="119" t="str">
        <x:v>Média</x:v>
      </x:c>
      <x:c r="I44" s="1"/>
      <x:c r="J44" s="1"/>
      <x:c r="K44" s="1"/>
    </x:row>
    <x:row r="45" ht="48" hidden="0" customHeight="1">
      <x:c r="A45" s="119" t="str">
        <x:v>P0</x:v>
      </x:c>
      <x:c r="B45" s="119" t="str">
        <x:v>RF-M07-04</x:v>
      </x:c>
      <x:c r="C45" s="119" t="str">
        <x:v>EXAMES LABORATORIAIS</x:v>
      </x:c>
      <x:c r="D45" s="119" t="str">
        <x:v>Referências versionadas por laboratório, método, sexo, idade, gestação e condição clínica.</x:v>
      </x:c>
      <x:c r="E45" s="119" t="str">
        <x:v>Não identificado</x:v>
      </x:c>
      <x:c r="F45" s="119" t="str">
        <x:v>Não foi identificada evidência suficiente para este requisito. Faltam painéis completos, anexos, referências versionadas por perfil, deduplicação robusta e correções por nova versão imutável.</x:v>
      </x:c>
      <x:c r="G45" s="119" t="str">
        <x:v>src/nutri_app/ui/pages/laboratory_exams_page.py; src/nutri_app/repositories/laboratory_exam_repository.py; src/nutri_app/services/integration.py; tests/test_laboratory_exam.py; tests/test_integrations.py</x:v>
      </x:c>
      <x:c r="H45" s="119" t="str">
        <x:v>Média</x:v>
      </x:c>
      <x:c r="I45" s="1"/>
      <x:c r="J45" s="1"/>
      <x:c r="K45" s="1"/>
    </x:row>
    <x:row r="46" ht="48" hidden="0" customHeight="1">
      <x:c r="A46" s="119" t="str">
        <x:v>P0</x:v>
      </x:c>
      <x:c r="B46" s="119" t="str">
        <x:v>RF-M07-06</x:v>
      </x:c>
      <x:c r="C46" s="119" t="str">
        <x:v>EXAMES LABORATORIAIS</x:v>
      </x:c>
      <x:c r="D46" s="119" t="str">
        <x:v>Comparação por períodos e disponibilidade dos resultados para avaliação, diagnóstico, evolução e relatórios.</x:v>
      </x:c>
      <x:c r="E46" s="119" t="str">
        <x:v>Parcial</x:v>
      </x:c>
      <x:c r="F46" s="119" t="str">
        <x:v>Faltam painéis completos, anexos, referências versionadas por perfil, deduplicação robusta e correções por nova versão imutável.</x:v>
      </x:c>
      <x:c r="G46" s="119" t="str">
        <x:v>src/nutri_app/ui/pages/laboratory_exams_page.py; src/nutri_app/repositories/laboratory_exam_repository.py; src/nutri_app/services/integration.py; tests/test_laboratory_exam.py; tests/test_integrations.py</x:v>
      </x:c>
      <x:c r="H46" s="119" t="str">
        <x:v>Média</x:v>
      </x:c>
      <x:c r="I46" s="1"/>
      <x:c r="J46" s="1"/>
      <x:c r="K46" s="1"/>
    </x:row>
    <x:row r="47" ht="36" hidden="0" customHeight="1">
      <x:c r="A47" s="119" t="str">
        <x:v>P0</x:v>
      </x:c>
      <x:c r="B47" s="119" t="str">
        <x:v>RF-M10-01</x:v>
      </x:c>
      <x:c r="C47" s="119" t="str">
        <x:v>GASTO ENERGÉTICO</x:v>
      </x:c>
      <x:c r="D47" s="119" t="str">
        <x:v>Métodos Harris-Benedict, Mifflin-St Jeor, FAO/OMS, Cunningham, Penn State e regra de bolso quando habilitados.</x:v>
      </x:c>
      <x:c r="E47" s="119" t="str">
        <x:v>Parcial</x:v>
      </x:c>
      <x:c r="F47" s="119" t="str">
        <x:v>Faltam Penn State/regra de bolso configurável, rastreio completo da origem do peso e aprovação formal de todas as versões clínicas.</x:v>
      </x:c>
      <x:c r="G47" s="119" t="str">
        <x:v>src/nutri_app/services/energy_expenditure.py; src/nutri_app/ui/pages/energy_expenditure_page.py; tests/test_energy_expenditure.py; tests/test_clinical_validation.py</x:v>
      </x:c>
      <x:c r="H47" s="119" t="str">
        <x:v>Média</x:v>
      </x:c>
      <x:c r="I47" s="1"/>
      <x:c r="J47" s="1"/>
      <x:c r="K47" s="1"/>
    </x:row>
    <x:row r="48" ht="36" hidden="0" customHeight="1">
      <x:c r="A48" s="119" t="str">
        <x:v>P0</x:v>
      </x:c>
      <x:c r="B48" s="119" t="str">
        <x:v>RF-M10-03</x:v>
      </x:c>
      <x:c r="C48" s="119" t="str">
        <x:v>GASTO ENERGÉTICO</x:v>
      </x:c>
      <x:c r="D48" s="119" t="str">
        <x:v>Seleção do peso utilizado e origem dos dados antropométricos.</x:v>
      </x:c>
      <x:c r="E48" s="119" t="str">
        <x:v>Parcial</x:v>
      </x:c>
      <x:c r="F48" s="119" t="str">
        <x:v>Faltam Penn State/regra de bolso configurável, rastreio completo da origem do peso e aprovação formal de todas as versões clínicas.</x:v>
      </x:c>
      <x:c r="G48" s="119" t="str">
        <x:v>src/nutri_app/services/energy_expenditure.py; src/nutri_app/ui/pages/energy_expenditure_page.py; tests/test_energy_expenditure.py; tests/test_clinical_validation.py</x:v>
      </x:c>
      <x:c r="H48" s="119" t="str">
        <x:v>Média</x:v>
      </x:c>
      <x:c r="I48" s="1"/>
      <x:c r="J48" s="1"/>
      <x:c r="K48" s="1"/>
    </x:row>
    <x:row r="49" ht="24" hidden="0" customHeight="1">
      <x:c r="A49" s="119" t="str">
        <x:v>P0</x:v>
      </x:c>
      <x:c r="B49" s="119" t="str">
        <x:v>RF-M11-03</x:v>
      </x:c>
      <x:c r="C49" s="119" t="str">
        <x:v>NECESSIDADES NUTRICIONAIS</x:v>
      </x:c>
      <x:c r="D49" s="119" t="str">
        <x:v>Meta hídrica por regra configurável, superfície corporal, balanço ou decisão clínica.</x:v>
      </x:c>
      <x:c r="E49" s="119" t="str">
        <x:v>Parcial</x:v>
      </x:c>
      <x:c r="F49" s="119" t="str">
        <x:v>Faltam módulo próprio, metas hídricas/micronutrientes completas, vias terapêuticas e comparativo meta versus prescrito versus consumido.</x:v>
      </x:c>
      <x:c r="G49" s="119" t="str">
        <x:v>src/nutri_app/services/energy_expenditure.py; src/nutri_app/services/meal_plan.py; database/schema.sql</x:v>
      </x:c>
      <x:c r="H49" s="119" t="str">
        <x:v>Média</x:v>
      </x:c>
      <x:c r="I49" s="1"/>
      <x:c r="J49" s="1"/>
      <x:c r="K49" s="1"/>
    </x:row>
    <x:row r="50" ht="36" hidden="0" customHeight="1">
      <x:c r="A50" s="119" t="str">
        <x:v>P0</x:v>
      </x:c>
      <x:c r="B50" s="119" t="str">
        <x:v>RF-M11-04</x:v>
      </x:c>
      <x:c r="C50" s="119" t="str">
        <x:v>NECESSIDADES NUTRICIONAIS</x:v>
      </x:c>
      <x:c r="D50" s="119" t="str">
        <x:v>Fibras, eletrólitos, minerais e vitaminas conforme condição e protocolo selecionado.</x:v>
      </x:c>
      <x:c r="E50" s="119" t="str">
        <x:v>Não identificado</x:v>
      </x:c>
      <x:c r="F50" s="119" t="str">
        <x:v>Não foi identificada evidência suficiente para este requisito. Faltam módulo próprio, metas hídricas/micronutrientes completas, vias terapêuticas e comparativo meta versus prescrito versus consumido.</x:v>
      </x:c>
      <x:c r="G50" s="119" t="str">
        <x:v>src/nutri_app/services/energy_expenditure.py; src/nutri_app/services/meal_plan.py; database/schema.sql</x:v>
      </x:c>
      <x:c r="H50" s="119" t="str">
        <x:v>Média</x:v>
      </x:c>
      <x:c r="I50" s="1"/>
      <x:c r="J50" s="1"/>
      <x:c r="K50" s="1"/>
    </x:row>
    <x:row r="51" ht="24" hidden="0" customHeight="1">
      <x:c r="A51" s="119" t="str">
        <x:v>P0</x:v>
      </x:c>
      <x:c r="B51" s="119" t="str">
        <x:v>RF-M11-05</x:v>
      </x:c>
      <x:c r="C51" s="119" t="str">
        <x:v>NECESSIDADES NUTRICIONAIS</x:v>
      </x:c>
      <x:c r="D51" s="119" t="str">
        <x:v>Distribuição por refeições, via oral, enteral, parenteral ou combinação.</x:v>
      </x:c>
      <x:c r="E51" s="119" t="str">
        <x:v>Parcial</x:v>
      </x:c>
      <x:c r="F51" s="119" t="str">
        <x:v>Faltam módulo próprio, metas hídricas/micronutrientes completas, vias terapêuticas e comparativo meta versus prescrito versus consumido.</x:v>
      </x:c>
      <x:c r="G51" s="119" t="str">
        <x:v>src/nutri_app/services/energy_expenditure.py; src/nutri_app/services/meal_plan.py; database/schema.sql</x:v>
      </x:c>
      <x:c r="H51" s="119" t="str">
        <x:v>Média</x:v>
      </x:c>
      <x:c r="I51" s="1"/>
      <x:c r="J51" s="1"/>
      <x:c r="K51" s="1"/>
    </x:row>
    <x:row r="52" ht="24" hidden="0" customHeight="1">
      <x:c r="A52" s="119" t="str">
        <x:v>P0</x:v>
      </x:c>
      <x:c r="B52" s="119" t="str">
        <x:v>RF-M11-06</x:v>
      </x:c>
      <x:c r="C52" s="119" t="str">
        <x:v>NECESSIDADES NUTRICIONAIS</x:v>
      </x:c>
      <x:c r="D52" s="119" t="str">
        <x:v>Comparativo meta versus prescrito versus consumido, com alertas de divergência.</x:v>
      </x:c>
      <x:c r="E52" s="119" t="str">
        <x:v>Parcial</x:v>
      </x:c>
      <x:c r="F52" s="119" t="str">
        <x:v>Faltam módulo próprio, metas hídricas/micronutrientes completas, vias terapêuticas e comparativo meta versus prescrito versus consumido.</x:v>
      </x:c>
      <x:c r="G52" s="119" t="str">
        <x:v>src/nutri_app/services/energy_expenditure.py; src/nutri_app/services/meal_plan.py; database/schema.sql</x:v>
      </x:c>
      <x:c r="H52" s="119" t="str">
        <x:v>Média</x:v>
      </x:c>
      <x:c r="I52" s="1"/>
      <x:c r="J52" s="1"/>
      <x:c r="K52" s="1"/>
    </x:row>
    <x:row r="53" ht="36" hidden="0" customHeight="1">
      <x:c r="A53" s="119" t="str">
        <x:v>P0</x:v>
      </x:c>
      <x:c r="B53" s="119" t="str">
        <x:v>RF-M12-01</x:v>
      </x:c>
      <x:c r="C53" s="119" t="str">
        <x:v>DIAGNÓSTICO NUTRICIONAL</x:v>
      </x:c>
      <x:c r="D53" s="119" t="str">
        <x:v>Diagnóstico na estrutura PES: problema, etiologia, sinais e sintomas, com texto consolidado editável.</x:v>
      </x:c>
      <x:c r="E53" s="119" t="str">
        <x:v>Parcial</x:v>
      </x:c>
      <x:c r="F53" s="119" t="str">
        <x:v>Faltam PES completo, vínculos automáticos abrangentes, estados ativo/resolvido/substituído e aprovação de todas as terminologias.</x:v>
      </x:c>
      <x:c r="G53" s="119" t="str">
        <x:v>src/nutri_app/ui/pages/nutrition_diagnosis_page.py; src/nutri_app/services/nutrition_diagnosis.py; src/nutri_app/services/clinical_validation.py; tests/test_nutrition_diagnosis.py</x:v>
      </x:c>
      <x:c r="H53" s="119" t="str">
        <x:v>Média</x:v>
      </x:c>
      <x:c r="I53" s="1"/>
      <x:c r="J53" s="1"/>
      <x:c r="K53" s="1"/>
    </x:row>
    <x:row r="54" ht="36" hidden="0" customHeight="1">
      <x:c r="A54" s="119" t="str">
        <x:v>P0</x:v>
      </x:c>
      <x:c r="B54" s="119" t="str">
        <x:v>RF-M12-02</x:v>
      </x:c>
      <x:c r="C54" s="119" t="str">
        <x:v>DIAGNÓSTICO NUTRICIONAL</x:v>
      </x:c>
      <x:c r="D54" s="119" t="str">
        <x:v>Protocolos GLIM, ASG/SGA, fragilidade, sarcopenia e outros quando cadastrados e aplicáveis.</x:v>
      </x:c>
      <x:c r="E54" s="119" t="str">
        <x:v>Parcial</x:v>
      </x:c>
      <x:c r="F54" s="119" t="str">
        <x:v>Faltam PES completo, vínculos automáticos abrangentes, estados ativo/resolvido/substituído e aprovação de todas as terminologias.</x:v>
      </x:c>
      <x:c r="G54" s="119" t="str">
        <x:v>src/nutri_app/ui/pages/nutrition_diagnosis_page.py; src/nutri_app/services/nutrition_diagnosis.py; src/nutri_app/services/clinical_validation.py; tests/test_nutrition_diagnosis.py</x:v>
      </x:c>
      <x:c r="H54" s="119" t="str">
        <x:v>Média</x:v>
      </x:c>
      <x:c r="I54" s="1"/>
      <x:c r="J54" s="1"/>
      <x:c r="K54" s="1"/>
    </x:row>
    <x:row r="55" ht="36" hidden="0" customHeight="1">
      <x:c r="A55" s="119" t="str">
        <x:v>P0</x:v>
      </x:c>
      <x:c r="B55" s="119" t="str">
        <x:v>RF-M12-03</x:v>
      </x:c>
      <x:c r="C55" s="119" t="str">
        <x:v>DIAGNÓSTICO NUTRICIONAL</x:v>
      </x:c>
      <x:c r="D55" s="119" t="str">
        <x:v>Visualização vinculada de antropometria, clínica, ingestão, exames, risco e evolução.</x:v>
      </x:c>
      <x:c r="E55" s="119" t="str">
        <x:v>Parcial</x:v>
      </x:c>
      <x:c r="F55" s="119" t="str">
        <x:v>Faltam PES completo, vínculos automáticos abrangentes, estados ativo/resolvido/substituído e aprovação de todas as terminologias.</x:v>
      </x:c>
      <x:c r="G55" s="119" t="str">
        <x:v>src/nutri_app/ui/pages/nutrition_diagnosis_page.py; src/nutri_app/services/nutrition_diagnosis.py; src/nutri_app/services/clinical_validation.py; tests/test_nutrition_diagnosis.py</x:v>
      </x:c>
      <x:c r="H55" s="119" t="str">
        <x:v>Média</x:v>
      </x:c>
      <x:c r="I55" s="1"/>
      <x:c r="J55" s="1"/>
      <x:c r="K55" s="1"/>
    </x:row>
    <x:row r="56" ht="36" hidden="0" customHeight="1">
      <x:c r="A56" s="119" t="str">
        <x:v>P0</x:v>
      </x:c>
      <x:c r="B56" s="119" t="str">
        <x:v>RF-M12-04</x:v>
      </x:c>
      <x:c r="C56" s="119" t="str">
        <x:v>DIAGNÓSTICO NUTRICIONAL</x:v>
      </x:c>
      <x:c r="D56" s="119" t="str">
        <x:v>Classificação de gravidade, data, status, revisão e relação com objetivos e condutas.</x:v>
      </x:c>
      <x:c r="E56" s="119" t="str">
        <x:v>Parcial</x:v>
      </x:c>
      <x:c r="F56" s="119" t="str">
        <x:v>Faltam PES completo, vínculos automáticos abrangentes, estados ativo/resolvido/substituído e aprovação de todas as terminologias.</x:v>
      </x:c>
      <x:c r="G56" s="119" t="str">
        <x:v>src/nutri_app/ui/pages/nutrition_diagnosis_page.py; src/nutri_app/services/nutrition_diagnosis.py; src/nutri_app/services/clinical_validation.py; tests/test_nutrition_diagnosis.py</x:v>
      </x:c>
      <x:c r="H56" s="119" t="str">
        <x:v>Média</x:v>
      </x:c>
      <x:c r="I56" s="1"/>
      <x:c r="J56" s="1"/>
      <x:c r="K56" s="1"/>
    </x:row>
    <x:row r="57" ht="36" hidden="0" customHeight="1">
      <x:c r="A57" s="119" t="str">
        <x:v>P0</x:v>
      </x:c>
      <x:c r="B57" s="119" t="str">
        <x:v>RF-M12-05</x:v>
      </x:c>
      <x:c r="C57" s="119" t="str">
        <x:v>DIAGNÓSTICO NUTRICIONAL</x:v>
      </x:c>
      <x:c r="D57" s="119" t="str">
        <x:v>Histórico de diagnósticos ativos, resolvidos, revisados ou substituídos.</x:v>
      </x:c>
      <x:c r="E57" s="119" t="str">
        <x:v>Parcial</x:v>
      </x:c>
      <x:c r="F57" s="119" t="str">
        <x:v>Faltam PES completo, vínculos automáticos abrangentes, estados ativo/resolvido/substituído e aprovação de todas as terminologias.</x:v>
      </x:c>
      <x:c r="G57" s="119" t="str">
        <x:v>src/nutri_app/ui/pages/nutrition_diagnosis_page.py; src/nutri_app/services/nutrition_diagnosis.py; src/nutri_app/services/clinical_validation.py; tests/test_nutrition_diagnosis.py</x:v>
      </x:c>
      <x:c r="H57" s="119" t="str">
        <x:v>Média</x:v>
      </x:c>
      <x:c r="I57" s="1"/>
      <x:c r="J57" s="1"/>
      <x:c r="K57" s="1"/>
    </x:row>
    <x:row r="58" ht="24" hidden="0" customHeight="1">
      <x:c r="A58" s="119" t="str">
        <x:v>P0</x:v>
      </x:c>
      <x:c r="B58" s="119" t="str">
        <x:v>RF-M13-01</x:v>
      </x:c>
      <x:c r="C58" s="119" t="str">
        <x:v>PRESCRIÇÃO NUTRICIONAL</x:v>
      </x:c>
      <x:c r="D58" s="119" t="str">
        <x:v>Objetivos, via oral/enteral/parenteral/mista, consistência, composição, fracionamento e restrições.</x:v>
      </x:c>
      <x:c r="E58" s="119" t="str">
        <x:v>Parcial</x:v>
      </x:c>
      <x:c r="F58" s="119" t="str">
        <x:v>Não há entidade/tela de prescrição nutricional integrada, assinável, versionada e com suspensão/validade.</x:v>
      </x:c>
      <x:c r="G58" s="119" t="str">
        <x:v>database/schema.sql; src/nutri_app/ui/main_window.py</x:v>
      </x:c>
      <x:c r="H58" s="119" t="str">
        <x:v>Média</x:v>
      </x:c>
      <x:c r="I58" s="1"/>
      <x:c r="J58" s="1"/>
      <x:c r="K58" s="1"/>
    </x:row>
    <x:row r="59" ht="24" hidden="0" customHeight="1">
      <x:c r="A59" s="119" t="str">
        <x:v>P0</x:v>
      </x:c>
      <x:c r="B59" s="119" t="str">
        <x:v>RF-M13-02</x:v>
      </x:c>
      <x:c r="C59" s="119" t="str">
        <x:v>PRESCRIÇÃO NUTRICIONAL</x:v>
      </x:c>
      <x:c r="D59" s="119" t="str">
        <x:v>Metas de energia, proteína, carboidrato, lipídio, fibras, água e micronutrientes adotadas.</x:v>
      </x:c>
      <x:c r="E59" s="119" t="str">
        <x:v>Parcial</x:v>
      </x:c>
      <x:c r="F59" s="119" t="str">
        <x:v>Não há entidade/tela de prescrição nutricional integrada, assinável, versionada e com suspensão/validade.</x:v>
      </x:c>
      <x:c r="G59" s="119" t="str">
        <x:v>database/schema.sql; src/nutri_app/ui/main_window.py</x:v>
      </x:c>
      <x:c r="H59" s="119" t="str">
        <x:v>Média</x:v>
      </x:c>
      <x:c r="I59" s="1"/>
      <x:c r="J59" s="1"/>
      <x:c r="K59" s="1"/>
    </x:row>
    <x:row r="60" ht="24" hidden="0" customHeight="1">
      <x:c r="A60" s="119" t="str">
        <x:v>P0</x:v>
      </x:c>
      <x:c r="B60" s="119" t="str">
        <x:v>RF-M13-03</x:v>
      </x:c>
      <x:c r="C60" s="119" t="str">
        <x:v>PRESCRIÇÃO NUTRICIONAL</x:v>
      </x:c>
      <x:c r="D60" s="119" t="str">
        <x:v>Inclusão de dietas, suplementos, módulos, hidratação e orientações à copa/equipe.</x:v>
      </x:c>
      <x:c r="E60" s="119" t="str">
        <x:v>Parcial</x:v>
      </x:c>
      <x:c r="F60" s="119" t="str">
        <x:v>Não há entidade/tela de prescrição nutricional integrada, assinável, versionada e com suspensão/validade.</x:v>
      </x:c>
      <x:c r="G60" s="119" t="str">
        <x:v>database/schema.sql; src/nutri_app/ui/main_window.py</x:v>
      </x:c>
      <x:c r="H60" s="119" t="str">
        <x:v>Média</x:v>
      </x:c>
      <x:c r="I60" s="1"/>
      <x:c r="J60" s="1"/>
      <x:c r="K60" s="1"/>
    </x:row>
    <x:row r="61" ht="24" hidden="0" customHeight="1">
      <x:c r="A61" s="119" t="str">
        <x:v>P0</x:v>
      </x:c>
      <x:c r="B61" s="119" t="str">
        <x:v>RF-M13-04</x:v>
      </x:c>
      <x:c r="C61" s="119" t="str">
        <x:v>PRESCRIÇÃO NUTRICIONAL</x:v>
      </x:c>
      <x:c r="D61" s="119" t="str">
        <x:v>Vínculo com necessidades, alergias, diagnóstico, plano alimentar e terapias específicas.</x:v>
      </x:c>
      <x:c r="E61" s="119" t="str">
        <x:v>Parcial</x:v>
      </x:c>
      <x:c r="F61" s="119" t="str">
        <x:v>Não há entidade/tela de prescrição nutricional integrada, assinável, versionada e com suspensão/validade.</x:v>
      </x:c>
      <x:c r="G61" s="119" t="str">
        <x:v>database/schema.sql; src/nutri_app/ui/main_window.py</x:v>
      </x:c>
      <x:c r="H61" s="119" t="str">
        <x:v>Média</x:v>
      </x:c>
      <x:c r="I61" s="1"/>
      <x:c r="J61" s="1"/>
      <x:c r="K61" s="1"/>
    </x:row>
    <x:row r="62" ht="24" hidden="0" customHeight="1">
      <x:c r="A62" s="119" t="str">
        <x:v>P0</x:v>
      </x:c>
      <x:c r="B62" s="119" t="str">
        <x:v>RF-M13-05</x:v>
      </x:c>
      <x:c r="C62" s="119" t="str">
        <x:v>PRESCRIÇÃO NUTRICIONAL</x:v>
      </x:c>
      <x:c r="D62" s="119" t="str">
        <x:v>Emissão, revisão, suspensão, validade, assinatura eletrônica e histórico de versões.</x:v>
      </x:c>
      <x:c r="E62" s="119" t="str">
        <x:v>Não identificado</x:v>
      </x:c>
      <x:c r="F62" s="119" t="str">
        <x:v>Não foi identificada evidência suficiente para este requisito. Não há entidade/tela de prescrição nutricional integrada, assinável, versionada e com suspensão/validade.</x:v>
      </x:c>
      <x:c r="G62" s="119" t="str">
        <x:v>database/schema.sql; src/nutri_app/ui/main_window.py</x:v>
      </x:c>
      <x:c r="H62" s="119" t="str">
        <x:v>Média</x:v>
      </x:c>
      <x:c r="I62" s="1"/>
      <x:c r="J62" s="1"/>
      <x:c r="K62" s="1"/>
    </x:row>
    <x:row r="63" ht="24" hidden="0" customHeight="1">
      <x:c r="A63" s="119" t="str">
        <x:v>P0</x:v>
      </x:c>
      <x:c r="B63" s="119" t="str">
        <x:v>RF-M18-01</x:v>
      </x:c>
      <x:c r="C63" s="119" t="str">
        <x:v>SUPLEMENTAÇÃO NUTRICIONAL</x:v>
      </x:c>
      <x:c r="D63" s="119" t="str">
        <x:v>Ficha de produto com nome comercial, marca, fabricante, categoria, apresentação, sabor, embalagem e via.</x:v>
      </x:c>
      <x:c r="E63" s="119" t="str">
        <x:v>Parcial</x:v>
      </x:c>
      <x:c r="F63" s="119" t="str">
        <x:v>Faltam prescrição por paciente, horários/duração, adesão/intercorrências, integração clínica e regras versionadas de interação/limites.</x:v>
      </x:c>
      <x:c r="G63" s="119" t="str">
        <x:v>src/nutri_app/ui/pages/supplements_page.py; src/nutri_app/services/supplement.py; tests/test_supplements.py</x:v>
      </x:c>
      <x:c r="H63" s="119" t="str">
        <x:v>Média</x:v>
      </x:c>
      <x:c r="I63" s="1"/>
      <x:c r="J63" s="1"/>
      <x:c r="K63" s="1"/>
    </x:row>
    <x:row r="64" ht="24" hidden="0" customHeight="1">
      <x:c r="A64" s="119" t="str">
        <x:v>P0</x:v>
      </x:c>
      <x:c r="B64" s="119" t="str">
        <x:v>RF-M18-02</x:v>
      </x:c>
      <x:c r="C64" s="119" t="str">
        <x:v>SUPLEMENTAÇÃO NUTRICIONAL</x:v>
      </x:c>
      <x:c r="D64" s="119" t="str">
        <x:v>Composição por porção/dose, densidade, ingredientes, alergênicos, modo de preparo e conservação.</x:v>
      </x:c>
      <x:c r="E64" s="119" t="str">
        <x:v>Parcial</x:v>
      </x:c>
      <x:c r="F64" s="119" t="str">
        <x:v>Faltam prescrição por paciente, horários/duração, adesão/intercorrências, integração clínica e regras versionadas de interação/limites.</x:v>
      </x:c>
      <x:c r="G64" s="119" t="str">
        <x:v>src/nutri_app/ui/pages/supplements_page.py; src/nutri_app/services/supplement.py; tests/test_supplements.py</x:v>
      </x:c>
      <x:c r="H64" s="119" t="str">
        <x:v>Média</x:v>
      </x:c>
      <x:c r="I64" s="1"/>
      <x:c r="J64" s="1"/>
      <x:c r="K64" s="1"/>
    </x:row>
    <x:row r="65" ht="36" hidden="0" customHeight="1">
      <x:c r="A65" s="119" t="str">
        <x:v>P0</x:v>
      </x:c>
      <x:c r="B65" s="119" t="str">
        <x:v>RF-M18-03</x:v>
      </x:c>
      <x:c r="C65" s="119" t="str">
        <x:v>SUPLEMENTAÇÃO NUTRICIONAL</x:v>
      </x:c>
      <x:c r="D65" s="119" t="str">
        <x:v>Prescrição por paciente com quantidade, unidade, frequência, horários, duração, objetivo e instruções.</x:v>
      </x:c>
      <x:c r="E65" s="119" t="str">
        <x:v>Não identificado</x:v>
      </x:c>
      <x:c r="F65" s="119" t="str">
        <x:v>Não foi identificada evidência suficiente para este requisito. Faltam prescrição por paciente, horários/duração, adesão/intercorrências, integração clínica e regras versionadas de interação/limites.</x:v>
      </x:c>
      <x:c r="G65" s="119" t="str">
        <x:v>src/nutri_app/ui/pages/supplements_page.py; src/nutri_app/services/supplement.py; tests/test_supplements.py</x:v>
      </x:c>
      <x:c r="H65" s="119" t="str">
        <x:v>Média</x:v>
      </x:c>
      <x:c r="I65" s="1"/>
      <x:c r="J65" s="1"/>
      <x:c r="K65" s="1"/>
    </x:row>
    <x:row r="66" ht="36" hidden="0" customHeight="1">
      <x:c r="A66" s="119" t="str">
        <x:v>P0</x:v>
      </x:c>
      <x:c r="B66" s="119" t="str">
        <x:v>RF-M18-05</x:v>
      </x:c>
      <x:c r="C66" s="119" t="str">
        <x:v>SUPLEMENTAÇÃO NUTRICIONAL</x:v>
      </x:c>
      <x:c r="D66" s="119" t="str">
        <x:v>Registro de aceitação, adesão, intercorrências, resposta e motivo de suspensão.</x:v>
      </x:c>
      <x:c r="E66" s="119" t="str">
        <x:v>Não identificado</x:v>
      </x:c>
      <x:c r="F66" s="119" t="str">
        <x:v>Não foi identificada evidência suficiente para este requisito. Faltam prescrição por paciente, horários/duração, adesão/intercorrências, integração clínica e regras versionadas de interação/limites.</x:v>
      </x:c>
      <x:c r="G66" s="119" t="str">
        <x:v>src/nutri_app/ui/pages/supplements_page.py; src/nutri_app/services/supplement.py; tests/test_supplements.py</x:v>
      </x:c>
      <x:c r="H66" s="119" t="str">
        <x:v>Média</x:v>
      </x:c>
      <x:c r="I66" s="1"/>
      <x:c r="J66" s="1"/>
      <x:c r="K66" s="1"/>
    </x:row>
    <x:row r="67" ht="24" hidden="0" customHeight="1">
      <x:c r="A67" s="119" t="str">
        <x:v>P0</x:v>
      </x:c>
      <x:c r="B67" s="119" t="str">
        <x:v>RF-M18-06</x:v>
      </x:c>
      <x:c r="C67" s="119" t="str">
        <x:v>SUPLEMENTAÇÃO NUTRICIONAL</x:v>
      </x:c>
      <x:c r="D67" s="119" t="str">
        <x:v>Catálogo versionado e integração com necessidades, prescrição, plano, evolução e relatórios.</x:v>
      </x:c>
      <x:c r="E67" s="119" t="str">
        <x:v>Parcial</x:v>
      </x:c>
      <x:c r="F67" s="119" t="str">
        <x:v>Faltam prescrição por paciente, horários/duração, adesão/intercorrências, integração clínica e regras versionadas de interação/limites.</x:v>
      </x:c>
      <x:c r="G67" s="119" t="str">
        <x:v>src/nutri_app/ui/pages/supplements_page.py; src/nutri_app/services/supplement.py; tests/test_supplements.py</x:v>
      </x:c>
      <x:c r="H67" s="119" t="str">
        <x:v>Média</x:v>
      </x:c>
      <x:c r="I67" s="1"/>
      <x:c r="J67" s="1"/>
      <x:c r="K67" s="1"/>
    </x:row>
    <x:row r="68" ht="24" hidden="0" customHeight="1">
      <x:c r="A68" s="119" t="str">
        <x:v>P0</x:v>
      </x:c>
      <x:c r="B68" s="119" t="str">
        <x:v>RF-M19-01</x:v>
      </x:c>
      <x:c r="C68" s="119" t="str">
        <x:v>TERAPIA NUTRICIONAL ENTERAL (TNE)</x:v>
      </x:c>
      <x:c r="D68" s="119" t="str">
        <x:v>Via de acesso, posicionamento, método contínuo/intermitente/bolus, bomba, horários e pausas.</x:v>
      </x:c>
      <x:c r="E68" s="119" t="str">
        <x:v>Parcial</x:v>
      </x:c>
      <x:c r="F68" s="119" t="str">
        <x:v>Faltam prescrição enteral completa, vias/métodos, evolução administrada, tolerância, intercorrências, alertas e assinatura.</x:v>
      </x:c>
      <x:c r="G68" s="119" t="str">
        <x:v>src/nutri_app/services/advanced_clinical.py; src/nutri_app/ui/pages/advanced_module_page.py</x:v>
      </x:c>
      <x:c r="H68" s="119" t="str">
        <x:v>Média</x:v>
      </x:c>
      <x:c r="I68" s="1"/>
      <x:c r="J68" s="1"/>
      <x:c r="K68" s="1"/>
    </x:row>
    <x:row r="69" ht="24" hidden="0" customHeight="1">
      <x:c r="A69" s="119" t="str">
        <x:v>P0</x:v>
      </x:c>
      <x:c r="B69" s="119" t="str">
        <x:v>RF-M19-02</x:v>
      </x:c>
      <x:c r="C69" s="119" t="str">
        <x:v>TERAPIA NUTRICIONAL ENTERAL (TNE)</x:v>
      </x:c>
      <x:c r="D69" s="119" t="str">
        <x:v>Catálogo de fórmulas com fabricante, apresentação, densidade, osmolaridade, composição e água livre.</x:v>
      </x:c>
      <x:c r="E69" s="119" t="str">
        <x:v>Parcial</x:v>
      </x:c>
      <x:c r="F69" s="119" t="str">
        <x:v>Faltam prescrição enteral completa, vias/métodos, evolução administrada, tolerância, intercorrências, alertas e assinatura.</x:v>
      </x:c>
      <x:c r="G69" s="119" t="str">
        <x:v>src/nutri_app/services/advanced_clinical.py; src/nutri_app/ui/pages/advanced_module_page.py</x:v>
      </x:c>
      <x:c r="H69" s="119" t="str">
        <x:v>Média</x:v>
      </x:c>
      <x:c r="I69" s="1"/>
      <x:c r="J69" s="1"/>
      <x:c r="K69" s="1"/>
    </x:row>
    <x:row r="70" ht="36" hidden="0" customHeight="1">
      <x:c r="A70" s="119" t="str">
        <x:v>P0</x:v>
      </x:c>
      <x:c r="B70" s="119" t="str">
        <x:v>RF-M19-04</x:v>
      </x:c>
      <x:c r="C70" s="119" t="str">
        <x:v>TERAPIA NUTRICIONAL ENTERAL (TNE)</x:v>
      </x:c>
      <x:c r="D70" s="119" t="str">
        <x:v>Evolução da prescrição, progressão, meta, volume prescrito versus administrado e adequação percentual.</x:v>
      </x:c>
      <x:c r="E70" s="119" t="str">
        <x:v>Não identificado</x:v>
      </x:c>
      <x:c r="F70" s="119" t="str">
        <x:v>Não foi identificada evidência suficiente para este requisito. Faltam prescrição enteral completa, vias/métodos, evolução administrada, tolerância, intercorrências, alertas e assinatura.</x:v>
      </x:c>
      <x:c r="G70" s="119" t="str">
        <x:v>src/nutri_app/services/advanced_clinical.py; src/nutri_app/ui/pages/advanced_module_page.py</x:v>
      </x:c>
      <x:c r="H70" s="119" t="str">
        <x:v>Média</x:v>
      </x:c>
      <x:c r="I70" s="1"/>
      <x:c r="J70" s="1"/>
      <x:c r="K70" s="1"/>
    </x:row>
    <x:row r="71" ht="36" hidden="0" customHeight="1">
      <x:c r="A71" s="119" t="str">
        <x:v>P0</x:v>
      </x:c>
      <x:c r="B71" s="119" t="str">
        <x:v>RF-M19-05</x:v>
      </x:c>
      <x:c r="C71" s="119" t="str">
        <x:v>TERAPIA NUTRICIONAL ENTERAL (TNE)</x:v>
      </x:c>
      <x:c r="D71" s="119" t="str">
        <x:v>Monitoramento de tolerância, resíduo quando aplicável, evacuações, náusea, vômito, distensão e interrupções.</x:v>
      </x:c>
      <x:c r="E71" s="119" t="str">
        <x:v>Não identificado</x:v>
      </x:c>
      <x:c r="F71" s="119" t="str">
        <x:v>Não foi identificada evidência suficiente para este requisito. Faltam prescrição enteral completa, vias/métodos, evolução administrada, tolerância, intercorrências, alertas e assinatura.</x:v>
      </x:c>
      <x:c r="G71" s="119" t="str">
        <x:v>src/nutri_app/services/advanced_clinical.py; src/nutri_app/ui/pages/advanced_module_page.py</x:v>
      </x:c>
      <x:c r="H71" s="119" t="str">
        <x:v>Média</x:v>
      </x:c>
      <x:c r="I71" s="1"/>
      <x:c r="J71" s="1"/>
      <x:c r="K71" s="1"/>
    </x:row>
    <x:row r="72" ht="36" hidden="0" customHeight="1">
      <x:c r="A72" s="119" t="str">
        <x:v>P0</x:v>
      </x:c>
      <x:c r="B72" s="119" t="str">
        <x:v>RF-M19-06</x:v>
      </x:c>
      <x:c r="C72" s="119" t="str">
        <x:v>TERAPIA NUTRICIONAL ENTERAL (TNE)</x:v>
      </x:c>
      <x:c r="D72" s="119" t="str">
        <x:v>Alertas configuráveis, registro de intercorrências, conduta, equipe comunicada e assinatura.</x:v>
      </x:c>
      <x:c r="E72" s="119" t="str">
        <x:v>Não identificado</x:v>
      </x:c>
      <x:c r="F72" s="119" t="str">
        <x:v>Não foi identificada evidência suficiente para este requisito. Faltam prescrição enteral completa, vias/métodos, evolução administrada, tolerância, intercorrências, alertas e assinatura.</x:v>
      </x:c>
      <x:c r="G72" s="119" t="str">
        <x:v>src/nutri_app/services/advanced_clinical.py; src/nutri_app/ui/pages/advanced_module_page.py</x:v>
      </x:c>
      <x:c r="H72" s="119" t="str">
        <x:v>Média</x:v>
      </x:c>
      <x:c r="I72" s="1"/>
      <x:c r="J72" s="1"/>
      <x:c r="K72" s="1"/>
    </x:row>
    <x:row r="73" ht="24" hidden="0" customHeight="1">
      <x:c r="A73" s="119" t="str">
        <x:v>P0</x:v>
      </x:c>
      <x:c r="B73" s="119" t="str">
        <x:v>RF-M20-01</x:v>
      </x:c>
      <x:c r="C73" s="119" t="str">
        <x:v>TERAPIA NUTRICIONAL PARENTERAL (TNP)</x:v>
      </x:c>
      <x:c r="D73" s="119" t="str">
        <x:v>Via, tipo de solução, bolsa industrializada/manipulada, volume, duração e velocidade de infusão.</x:v>
      </x:c>
      <x:c r="E73" s="119" t="str">
        <x:v>Parcial</x:v>
      </x:c>
      <x:c r="F73" s="119" t="str">
        <x:v>Falta fluxo específico de nutrição parenteral, composição, taxa de glicose, osmolaridade, incompatibilidades, monitoramento e dupla checagem.</x:v>
      </x:c>
      <x:c r="G73" s="119" t="str">
        <x:v>src/nutri_app/services/advanced_clinical.py; database/migrations/0019_advanced_clinical_modules.sql</x:v>
      </x:c>
      <x:c r="H73" s="119" t="str">
        <x:v>Média</x:v>
      </x:c>
      <x:c r="I73" s="1"/>
      <x:c r="J73" s="1"/>
      <x:c r="K73" s="1"/>
    </x:row>
    <x:row r="74" ht="36" hidden="0" customHeight="1">
      <x:c r="A74" s="119" t="str">
        <x:v>P0</x:v>
      </x:c>
      <x:c r="B74" s="119" t="str">
        <x:v>RF-M20-02</x:v>
      </x:c>
      <x:c r="C74" s="119" t="str">
        <x:v>TERAPIA NUTRICIONAL PARENTERAL (TNP)</x:v>
      </x:c>
      <x:c r="D74" s="119" t="str">
        <x:v>Aminoácidos, dextrose, lipídios, eletrólitos, vitaminas, oligoelementos e água.</x:v>
      </x:c>
      <x:c r="E74" s="119" t="str">
        <x:v>Não identificado</x:v>
      </x:c>
      <x:c r="F74" s="119" t="str">
        <x:v>Não foi identificada evidência suficiente para este requisito. Falta fluxo específico de nutrição parenteral, composição, taxa de glicose, osmolaridade, incompatibilidades, monitoramento e dupla checagem.</x:v>
      </x:c>
      <x:c r="G74" s="119" t="str">
        <x:v>src/nutri_app/services/advanced_clinical.py; database/migrations/0019_advanced_clinical_modules.sql</x:v>
      </x:c>
      <x:c r="H74" s="119" t="str">
        <x:v>Média</x:v>
      </x:c>
      <x:c r="I74" s="1"/>
      <x:c r="J74" s="1"/>
      <x:c r="K74" s="1"/>
    </x:row>
    <x:row r="75" ht="24" hidden="0" customHeight="1">
      <x:c r="A75" s="119" t="str">
        <x:v>P0</x:v>
      </x:c>
      <x:c r="B75" s="119" t="str">
        <x:v>RF-M20-03</x:v>
      </x:c>
      <x:c r="C75" s="119" t="str">
        <x:v>TERAPIA NUTRICIONAL PARENTERAL (TNP)</x:v>
      </x:c>
      <x:c r="D75" s="119" t="str">
        <x:v>Cálculo de kcal totais, proteína, taxa de infusão de glicose, distribuição energética e osmolaridade.</x:v>
      </x:c>
      <x:c r="E75" s="119" t="str">
        <x:v>Parcial</x:v>
      </x:c>
      <x:c r="F75" s="119" t="str">
        <x:v>Falta fluxo específico de nutrição parenteral, composição, taxa de glicose, osmolaridade, incompatibilidades, monitoramento e dupla checagem.</x:v>
      </x:c>
      <x:c r="G75" s="119" t="str">
        <x:v>src/nutri_app/services/advanced_clinical.py; database/migrations/0019_advanced_clinical_modules.sql</x:v>
      </x:c>
      <x:c r="H75" s="119" t="str">
        <x:v>Média</x:v>
      </x:c>
      <x:c r="I75" s="1"/>
      <x:c r="J75" s="1"/>
      <x:c r="K75" s="1"/>
    </x:row>
    <x:row r="76" ht="36" hidden="0" customHeight="1">
      <x:c r="A76" s="119" t="str">
        <x:v>P0</x:v>
      </x:c>
      <x:c r="B76" s="119" t="str">
        <x:v>RF-M20-04</x:v>
      </x:c>
      <x:c r="C76" s="119" t="str">
        <x:v>TERAPIA NUTRICIONAL PARENTERAL (TNP)</x:v>
      </x:c>
      <x:c r="D76" s="119" t="str">
        <x:v>Travas e alertas configuráveis para limites, incompatibilidades e via periférica.</x:v>
      </x:c>
      <x:c r="E76" s="119" t="str">
        <x:v>Não identificado</x:v>
      </x:c>
      <x:c r="F76" s="119" t="str">
        <x:v>Não foi identificada evidência suficiente para este requisito. Falta fluxo específico de nutrição parenteral, composição, taxa de glicose, osmolaridade, incompatibilidades, monitoramento e dupla checagem.</x:v>
      </x:c>
      <x:c r="G76" s="119" t="str">
        <x:v>src/nutri_app/services/advanced_clinical.py; database/migrations/0019_advanced_clinical_modules.sql</x:v>
      </x:c>
      <x:c r="H76" s="119" t="str">
        <x:v>Média</x:v>
      </x:c>
      <x:c r="I76" s="1"/>
      <x:c r="J76" s="1"/>
      <x:c r="K76" s="1"/>
    </x:row>
    <x:row r="77" ht="36" hidden="0" customHeight="1">
      <x:c r="A77" s="119" t="str">
        <x:v>P0</x:v>
      </x:c>
      <x:c r="B77" s="119" t="str">
        <x:v>RF-M20-05</x:v>
      </x:c>
      <x:c r="C77" s="119" t="str">
        <x:v>TERAPIA NUTRICIONAL PARENTERAL (TNP)</x:v>
      </x:c>
      <x:c r="D77" s="119" t="str">
        <x:v>Monitoramento de volume administrado, glicemia, eletrólitos, função hepática, triglicerídeos e intercorrências.</x:v>
      </x:c>
      <x:c r="E77" s="119" t="str">
        <x:v>Não identificado</x:v>
      </x:c>
      <x:c r="F77" s="119" t="str">
        <x:v>Não foi identificada evidência suficiente para este requisito. Falta fluxo específico de nutrição parenteral, composição, taxa de glicose, osmolaridade, incompatibilidades, monitoramento e dupla checagem.</x:v>
      </x:c>
      <x:c r="G77" s="119" t="str">
        <x:v>src/nutri_app/services/advanced_clinical.py; database/migrations/0019_advanced_clinical_modules.sql</x:v>
      </x:c>
      <x:c r="H77" s="119" t="str">
        <x:v>Média</x:v>
      </x:c>
      <x:c r="I77" s="1"/>
      <x:c r="J77" s="1"/>
      <x:c r="K77" s="1"/>
    </x:row>
    <x:row r="78" ht="36" hidden="0" customHeight="1">
      <x:c r="A78" s="119" t="str">
        <x:v>P0</x:v>
      </x:c>
      <x:c r="B78" s="119" t="str">
        <x:v>RF-M20-06</x:v>
      </x:c>
      <x:c r="C78" s="119" t="str">
        <x:v>TERAPIA NUTRICIONAL PARENTERAL (TNP)</x:v>
      </x:c>
      <x:c r="D78" s="119" t="str">
        <x:v>Histórico de progressão, pausa, suspensão, justificativa, validação e assinatura.</x:v>
      </x:c>
      <x:c r="E78" s="119" t="str">
        <x:v>Não identificado</x:v>
      </x:c>
      <x:c r="F78" s="119" t="str">
        <x:v>Não foi identificada evidência suficiente para este requisito. Falta fluxo específico de nutrição parenteral, composição, taxa de glicose, osmolaridade, incompatibilidades, monitoramento e dupla checagem.</x:v>
      </x:c>
      <x:c r="G78" s="119" t="str">
        <x:v>src/nutri_app/services/advanced_clinical.py; database/migrations/0019_advanced_clinical_modules.sql</x:v>
      </x:c>
      <x:c r="H78" s="119" t="str">
        <x:v>Média</x:v>
      </x:c>
      <x:c r="I78" s="1"/>
      <x:c r="J78" s="1"/>
      <x:c r="K78" s="1"/>
    </x:row>
    <x:row r="79" ht="36" hidden="0" customHeight="1">
      <x:c r="A79" s="119" t="str">
        <x:v>P0</x:v>
      </x:c>
      <x:c r="B79" s="119" t="str">
        <x:v>RF-M21-01</x:v>
      </x:c>
      <x:c r="C79" s="119" t="str">
        <x:v>AVALIAÇÃO DE RISCO NUTRICIONAL</x:v>
      </x:c>
      <x:c r="D79" s="119" t="str">
        <x:v>Protocolos NRS-2002, MUST, MNA/MAN, ASG/SGA, STRONGkids, STAMP e outros configurados.</x:v>
      </x:c>
      <x:c r="E79" s="119" t="str">
        <x:v>Parcial</x:v>
      </x:c>
      <x:c r="F79" s="119" t="str">
        <x:v>Faltam STAMP, seleção automática/justificada por população, prazos/reavaliação completos, assinatura e protocolo publicado imutável.</x:v>
      </x:c>
      <x:c r="G79" s="119" t="str">
        <x:v>src/nutri_app/ui/pages/screening_page.py; src/nutri_app/services/screening.py; src/nutri_app/services/clinical_validation.py; tests/test_screening.py</x:v>
      </x:c>
      <x:c r="H79" s="119" t="str">
        <x:v>Média</x:v>
      </x:c>
      <x:c r="I79" s="1"/>
      <x:c r="J79" s="1"/>
      <x:c r="K79" s="1"/>
    </x:row>
    <x:row r="80" ht="36" hidden="0" customHeight="1">
      <x:c r="A80" s="119" t="str">
        <x:v>P0</x:v>
      </x:c>
      <x:c r="B80" s="119" t="str">
        <x:v>RF-M21-03</x:v>
      </x:c>
      <x:c r="C80" s="119" t="str">
        <x:v>AVALIAÇÃO DE RISCO NUTRICIONAL</x:v>
      </x:c>
      <x:c r="D80" s="119" t="str">
        <x:v>Seleção por idade, contexto e população, sem impedir escolha justificada do profissional.</x:v>
      </x:c>
      <x:c r="E80" s="119" t="str">
        <x:v>Parcial</x:v>
      </x:c>
      <x:c r="F80" s="119" t="str">
        <x:v>Faltam STAMP, seleção automática/justificada por população, prazos/reavaliação completos, assinatura e protocolo publicado imutável.</x:v>
      </x:c>
      <x:c r="G80" s="119" t="str">
        <x:v>src/nutri_app/ui/pages/screening_page.py; src/nutri_app/services/screening.py; src/nutri_app/services/clinical_validation.py; tests/test_screening.py</x:v>
      </x:c>
      <x:c r="H80" s="119" t="str">
        <x:v>Média</x:v>
      </x:c>
      <x:c r="I80" s="1"/>
      <x:c r="J80" s="1"/>
      <x:c r="K80" s="1"/>
    </x:row>
    <x:row r="81" ht="36" hidden="0" customHeight="1">
      <x:c r="A81" s="119" t="str">
        <x:v>P0</x:v>
      </x:c>
      <x:c r="B81" s="119" t="str">
        <x:v>RF-M21-04</x:v>
      </x:c>
      <x:c r="C81" s="119" t="str">
        <x:v>AVALIAÇÃO DE RISCO NUTRICIONAL</x:v>
      </x:c>
      <x:c r="D81" s="119" t="str">
        <x:v>Prazo de triagem, reavaliação e prioridade no dashboard conforme classificação.</x:v>
      </x:c>
      <x:c r="E81" s="119" t="str">
        <x:v>Parcial</x:v>
      </x:c>
      <x:c r="F81" s="119" t="str">
        <x:v>Faltam STAMP, seleção automática/justificada por população, prazos/reavaliação completos, assinatura e protocolo publicado imutável.</x:v>
      </x:c>
      <x:c r="G81" s="119" t="str">
        <x:v>src/nutri_app/ui/pages/screening_page.py; src/nutri_app/services/screening.py; src/nutri_app/services/clinical_validation.py; tests/test_screening.py</x:v>
      </x:c>
      <x:c r="H81" s="119" t="str">
        <x:v>Média</x:v>
      </x:c>
      <x:c r="I81" s="1"/>
      <x:c r="J81" s="1"/>
      <x:c r="K81" s="1"/>
    </x:row>
    <x:row r="82" ht="36" hidden="0" customHeight="1">
      <x:c r="A82" s="119" t="str">
        <x:v>P0</x:v>
      </x:c>
      <x:c r="B82" s="119" t="str">
        <x:v>RF-M21-05</x:v>
      </x:c>
      <x:c r="C82" s="119" t="str">
        <x:v>AVALIAÇÃO DE RISCO NUTRICIONAL</x:v>
      </x:c>
      <x:c r="D82" s="119" t="str">
        <x:v>Histórico comparativo, responsável, data, versão do protocolo e assinatura.</x:v>
      </x:c>
      <x:c r="E82" s="119" t="str">
        <x:v>Parcial</x:v>
      </x:c>
      <x:c r="F82" s="119" t="str">
        <x:v>Faltam STAMP, seleção automática/justificada por população, prazos/reavaliação completos, assinatura e protocolo publicado imutável.</x:v>
      </x:c>
      <x:c r="G82" s="119" t="str">
        <x:v>src/nutri_app/ui/pages/screening_page.py; src/nutri_app/services/screening.py; src/nutri_app/services/clinical_validation.py; tests/test_screening.py</x:v>
      </x:c>
      <x:c r="H82" s="119" t="str">
        <x:v>Média</x:v>
      </x:c>
      <x:c r="I82" s="1"/>
      <x:c r="J82" s="1"/>
      <x:c r="K82" s="1"/>
    </x:row>
    <x:row r="83" ht="24" hidden="0" customHeight="1">
      <x:c r="A83" s="119" t="str">
        <x:v>P0</x:v>
      </x:c>
      <x:c r="B83" s="119" t="str">
        <x:v>RF-M22-01</x:v>
      </x:c>
      <x:c r="C83" s="119" t="str">
        <x:v>EVOLUÇÃO NUTRICIONAL</x:v>
      </x:c>
      <x:c r="D83" s="119" t="str">
        <x:v>Modelo SOAPI estruturado e narrativa livre com modelos reutilizáveis.</x:v>
      </x:c>
      <x:c r="E83" s="119" t="str">
        <x:v>Não identificado</x:v>
      </x:c>
      <x:c r="F83" s="119" t="str">
        <x:v>Não foi identificada evidência suficiente para este requisito. Não há evolução SOAPI/narrativa como registro clínico versionado, assinado, com adendo e próxima reavaliação.</x:v>
      </x:c>
      <x:c r="G83" s="119" t="str">
        <x:v>src/nutri_app/services/report.py; src/nutri_app/repositories/dashboard_repository.py; database/schema.sql</x:v>
      </x:c>
      <x:c r="H83" s="119" t="str">
        <x:v>Média</x:v>
      </x:c>
      <x:c r="I83" s="1"/>
      <x:c r="J83" s="1"/>
      <x:c r="K83" s="1"/>
    </x:row>
    <x:row r="84" ht="24" hidden="0" customHeight="1">
      <x:c r="A84" s="119" t="str">
        <x:v>P0</x:v>
      </x:c>
      <x:c r="B84" s="119" t="str">
        <x:v>RF-M22-02</x:v>
      </x:c>
      <x:c r="C84" s="119" t="str">
        <x:v>EVOLUÇÃO NUTRICIONAL</x:v>
      </x:c>
      <x:c r="D84" s="119" t="str">
        <x:v>Dados vinculados de ingestão, antropometria, clínica, exames, terapias, adesão e metas.</x:v>
      </x:c>
      <x:c r="E84" s="119" t="str">
        <x:v>Parcial</x:v>
      </x:c>
      <x:c r="F84" s="119" t="str">
        <x:v>Não há evolução SOAPI/narrativa como registro clínico versionado, assinado, com adendo e próxima reavaliação.</x:v>
      </x:c>
      <x:c r="G84" s="119" t="str">
        <x:v>src/nutri_app/services/report.py; src/nutri_app/repositories/dashboard_repository.py; database/schema.sql</x:v>
      </x:c>
      <x:c r="H84" s="119" t="str">
        <x:v>Média</x:v>
      </x:c>
      <x:c r="I84" s="1"/>
      <x:c r="J84" s="1"/>
      <x:c r="K84" s="1"/>
    </x:row>
    <x:row r="85" ht="24" hidden="0" customHeight="1">
      <x:c r="A85" s="119" t="str">
        <x:v>P0</x:v>
      </x:c>
      <x:c r="B85" s="119" t="str">
        <x:v>RF-M22-03</x:v>
      </x:c>
      <x:c r="C85" s="119" t="str">
        <x:v>EVOLUÇÃO NUTRICIONAL</x:v>
      </x:c>
      <x:c r="D85" s="119" t="str">
        <x:v>Registro de intercorrências, condutas, orientações, comunicação à equipe e data da próxima reavaliação.</x:v>
      </x:c>
      <x:c r="E85" s="119" t="str">
        <x:v>Não identificado</x:v>
      </x:c>
      <x:c r="F85" s="119" t="str">
        <x:v>Não foi identificada evidência suficiente para este requisito. Não há evolução SOAPI/narrativa como registro clínico versionado, assinado, com adendo e próxima reavaliação.</x:v>
      </x:c>
      <x:c r="G85" s="119" t="str">
        <x:v>src/nutri_app/services/report.py; src/nutri_app/repositories/dashboard_repository.py; database/schema.sql</x:v>
      </x:c>
      <x:c r="H85" s="119" t="str">
        <x:v>Média</x:v>
      </x:c>
      <x:c r="I85" s="1"/>
      <x:c r="J85" s="1"/>
      <x:c r="K85" s="1"/>
    </x:row>
    <x:row r="86" ht="24" hidden="0" customHeight="1">
      <x:c r="A86" s="119" t="str">
        <x:v>P0</x:v>
      </x:c>
      <x:c r="B86" s="119" t="str">
        <x:v>RF-M22-04</x:v>
      </x:c>
      <x:c r="C86" s="119" t="str">
        <x:v>EVOLUÇÃO NUTRICIONAL</x:v>
      </x:c>
      <x:c r="D86" s="119" t="str">
        <x:v>Comparação com evolução anterior e resumo automático editável sem alterar dados de origem.</x:v>
      </x:c>
      <x:c r="E86" s="119" t="str">
        <x:v>Parcial</x:v>
      </x:c>
      <x:c r="F86" s="119" t="str">
        <x:v>Não há evolução SOAPI/narrativa como registro clínico versionado, assinado, com adendo e próxima reavaliação.</x:v>
      </x:c>
      <x:c r="G86" s="119" t="str">
        <x:v>src/nutri_app/services/report.py; src/nutri_app/repositories/dashboard_repository.py; database/schema.sql</x:v>
      </x:c>
      <x:c r="H86" s="119" t="str">
        <x:v>Média</x:v>
      </x:c>
      <x:c r="I86" s="1"/>
      <x:c r="J86" s="1"/>
      <x:c r="K86" s="1"/>
    </x:row>
    <x:row r="87" ht="24" hidden="0" customHeight="1">
      <x:c r="A87" s="119" t="str">
        <x:v>P0</x:v>
      </x:c>
      <x:c r="B87" s="119" t="str">
        <x:v>RF-M22-05</x:v>
      </x:c>
      <x:c r="C87" s="119" t="str">
        <x:v>EVOLUÇÃO NUTRICIONAL</x:v>
      </x:c>
      <x:c r="D87" s="119" t="str">
        <x:v>Rascunho, assinatura, adendo, controle de versão e impressão/PDF.</x:v>
      </x:c>
      <x:c r="E87" s="119" t="str">
        <x:v>Parcial</x:v>
      </x:c>
      <x:c r="F87" s="119" t="str">
        <x:v>Não há evolução SOAPI/narrativa como registro clínico versionado, assinado, com adendo e próxima reavaliação.</x:v>
      </x:c>
      <x:c r="G87" s="119" t="str">
        <x:v>src/nutri_app/services/report.py; src/nutri_app/repositories/dashboard_repository.py; database/schema.sql</x:v>
      </x:c>
      <x:c r="H87" s="119" t="str">
        <x:v>Média</x:v>
      </x:c>
      <x:c r="I87" s="1"/>
      <x:c r="J87" s="1"/>
      <x:c r="K87" s="1"/>
    </x:row>
    <x:row r="88" ht="48" hidden="0" customHeight="1">
      <x:c r="A88" s="119" t="str">
        <x:v>P0</x:v>
      </x:c>
      <x:c r="B88" s="119" t="str">
        <x:v>RF-M26-02</x:v>
      </x:c>
      <x:c r="C88" s="119" t="str">
        <x:v>PROTOCOLOS</x:v>
      </x:c>
      <x:c r="D88" s="119" t="str">
        <x:v>Parâmetros, perguntas, pontuações, faixas, unidades, fórmulas e critérios de aplicabilidade.</x:v>
      </x:c>
      <x:c r="E88" s="119" t="str">
        <x:v>Parcial</x:v>
      </x:c>
      <x:c r="F88" s="119" t="str">
        <x:v>Falta cadastro dinâmico integral dos protocolos, parâmetros/fórmulas/casos de referência, comparação de versões e publicação imutável aos módulos.</x:v>
      </x:c>
      <x:c r="G88" s="119" t="str">
        <x:v>src/nutri_app/ui/pages/clinical_governance_page.py; src/nutri_app/repositories/clinical_governance_repository.py; database/migrations/0021_security_governance.sql; src/nutri_app/services/release.py</x:v>
      </x:c>
      <x:c r="H88" s="119" t="str">
        <x:v>Média</x:v>
      </x:c>
      <x:c r="I88" s="1"/>
      <x:c r="J88" s="1"/>
      <x:c r="K88" s="1"/>
    </x:row>
    <x:row r="89" ht="48" hidden="0" customHeight="1">
      <x:c r="A89" s="119" t="str">
        <x:v>P0</x:v>
      </x:c>
      <x:c r="B89" s="119" t="str">
        <x:v>RF-M26-03</x:v>
      </x:c>
      <x:c r="C89" s="119" t="str">
        <x:v>PROTOCOLOS</x:v>
      </x:c>
      <x:c r="D89" s="119" t="str">
        <x:v>Protocolos antropométricos, clínicos, dietéticos, laboratoriais, hospitalares e de terapia nutricional.</x:v>
      </x:c>
      <x:c r="E89" s="119" t="str">
        <x:v>Parcial</x:v>
      </x:c>
      <x:c r="F89" s="119" t="str">
        <x:v>Falta cadastro dinâmico integral dos protocolos, parâmetros/fórmulas/casos de referência, comparação de versões e publicação imutável aos módulos.</x:v>
      </x:c>
      <x:c r="G89" s="119" t="str">
        <x:v>src/nutri_app/ui/pages/clinical_governance_page.py; src/nutri_app/repositories/clinical_governance_repository.py; database/migrations/0021_security_governance.sql; src/nutri_app/services/release.py</x:v>
      </x:c>
      <x:c r="H89" s="119" t="str">
        <x:v>Média</x:v>
      </x:c>
      <x:c r="I89" s="1"/>
      <x:c r="J89" s="1"/>
      <x:c r="K89" s="1"/>
    </x:row>
    <x:row r="90" ht="48" hidden="0" customHeight="1">
      <x:c r="A90" s="119" t="str">
        <x:v>P0</x:v>
      </x:c>
      <x:c r="B90" s="119" t="str">
        <x:v>RF-M26-04</x:v>
      </x:c>
      <x:c r="C90" s="119" t="str">
        <x:v>PROTOCOLOS</x:v>
      </x:c>
      <x:c r="D90" s="119" t="str">
        <x:v>Ambiente de teste com casos de referência antes da publicação.</x:v>
      </x:c>
      <x:c r="E90" s="119" t="str">
        <x:v>Parcial</x:v>
      </x:c>
      <x:c r="F90" s="119" t="str">
        <x:v>Falta cadastro dinâmico integral dos protocolos, parâmetros/fórmulas/casos de referência, comparação de versões e publicação imutável aos módulos.</x:v>
      </x:c>
      <x:c r="G90" s="119" t="str">
        <x:v>src/nutri_app/ui/pages/clinical_governance_page.py; src/nutri_app/repositories/clinical_governance_repository.py; database/migrations/0021_security_governance.sql; src/nutri_app/services/release.py</x:v>
      </x:c>
      <x:c r="H90" s="119" t="str">
        <x:v>Média</x:v>
      </x:c>
      <x:c r="I90" s="1"/>
      <x:c r="J90" s="1"/>
      <x:c r="K90" s="1"/>
    </x:row>
    <x:row r="91" ht="48" hidden="0" customHeight="1">
      <x:c r="A91" s="119" t="str">
        <x:v>P0</x:v>
      </x:c>
      <x:c r="B91" s="119" t="str">
        <x:v>RF-M26-05</x:v>
      </x:c>
      <x:c r="C91" s="119" t="str">
        <x:v>PROTOCOLOS</x:v>
      </x:c>
      <x:c r="D91" s="119" t="str">
        <x:v>Ativação/inativação, comparação de versões, aprovação, rejeição e histórico.</x:v>
      </x:c>
      <x:c r="E91" s="119" t="str">
        <x:v>Parcial</x:v>
      </x:c>
      <x:c r="F91" s="119" t="str">
        <x:v>Falta cadastro dinâmico integral dos protocolos, parâmetros/fórmulas/casos de referência, comparação de versões e publicação imutável aos módulos.</x:v>
      </x:c>
      <x:c r="G91" s="119" t="str">
        <x:v>src/nutri_app/ui/pages/clinical_governance_page.py; src/nutri_app/repositories/clinical_governance_repository.py; database/migrations/0021_security_governance.sql; src/nutri_app/services/release.py</x:v>
      </x:c>
      <x:c r="H91" s="119" t="str">
        <x:v>Média</x:v>
      </x:c>
      <x:c r="I91" s="1"/>
      <x:c r="J91" s="1"/>
      <x:c r="K91" s="1"/>
    </x:row>
    <x:row r="92" ht="48" hidden="0" customHeight="1">
      <x:c r="A92" s="119" t="str">
        <x:v>P0</x:v>
      </x:c>
      <x:c r="B92" s="119" t="str">
        <x:v>RF-M26-06</x:v>
      </x:c>
      <x:c r="C92" s="119" t="str">
        <x:v>PROTOCOLOS</x:v>
      </x:c>
      <x:c r="D92" s="119" t="str">
        <x:v>Disponibilização automática aos módulos compatíveis por uma fonte única.</x:v>
      </x:c>
      <x:c r="E92" s="119" t="str">
        <x:v>Parcial</x:v>
      </x:c>
      <x:c r="F92" s="119" t="str">
        <x:v>Falta cadastro dinâmico integral dos protocolos, parâmetros/fórmulas/casos de referência, comparação de versões e publicação imutável aos módulos.</x:v>
      </x:c>
      <x:c r="G92" s="119" t="str">
        <x:v>src/nutri_app/ui/pages/clinical_governance_page.py; src/nutri_app/repositories/clinical_governance_repository.py; database/migrations/0021_security_governance.sql; src/nutri_app/services/release.py</x:v>
      </x:c>
      <x:c r="H92" s="119" t="str">
        <x:v>Média</x:v>
      </x:c>
      <x:c r="I92" s="1"/>
      <x:c r="J92" s="1"/>
      <x:c r="K92" s="1"/>
    </x:row>
    <x:row r="93" ht="24" hidden="0" customHeight="1">
      <x:c r="A93" s="119" t="str">
        <x:v>P0</x:v>
      </x:c>
      <x:c r="B93" s="119" t="str">
        <x:v>RF-M28-01</x:v>
      </x:c>
      <x:c r="C93" s="119" t="str">
        <x:v>CONFIGURAÇÕES</x:v>
      </x:c>
      <x:c r="D93" s="119" t="str">
        <x:v>Empresa, unidades, logotipo, profissionais, árvore de leitos, formatos de data/hora e unidades.</x:v>
      </x:c>
      <x:c r="E93" s="119" t="str">
        <x:v>Parcial</x:v>
      </x:c>
      <x:c r="F93" s="119" t="str">
        <x:v>Faltam configuração institucional completa, temas/modelos, canais reais, painel de serviços e confirmação reforçada uniforme.</x:v>
      </x:c>
      <x:c r="G93" s="119" t="str">
        <x:v>src/nutri_app/ui/pages/settings_page.py; src/nutri_app/services/backup.py; src/nutri_app/services/automatic_backup.py; tests/test_backup_security.py</x:v>
      </x:c>
      <x:c r="H93" s="119" t="str">
        <x:v>Média</x:v>
      </x:c>
      <x:c r="I93" s="1"/>
      <x:c r="J93" s="1"/>
      <x:c r="K93" s="1"/>
    </x:row>
    <x:row r="94" ht="24" hidden="0" customHeight="1">
      <x:c r="A94" s="119" t="str">
        <x:v>P0</x:v>
      </x:c>
      <x:c r="B94" s="119" t="str">
        <x:v>RF-M28-02</x:v>
      </x:c>
      <x:c r="C94" s="119" t="str">
        <x:v>CONFIGURAÇÕES</x:v>
      </x:c>
      <x:c r="D94" s="119" t="str">
        <x:v>Preferências de avaliação, arredondamento, alertas, prazos, tema e comportamento de cards.</x:v>
      </x:c>
      <x:c r="E94" s="119" t="str">
        <x:v>Parcial</x:v>
      </x:c>
      <x:c r="F94" s="119" t="str">
        <x:v>Faltam configuração institucional completa, temas/modelos, canais reais, painel de serviços e confirmação reforçada uniforme.</x:v>
      </x:c>
      <x:c r="G94" s="119" t="str">
        <x:v>src/nutri_app/ui/pages/settings_page.py; src/nutri_app/services/backup.py; src/nutri_app/services/automatic_backup.py; tests/test_backup_security.py</x:v>
      </x:c>
      <x:c r="H94" s="119" t="str">
        <x:v>Média</x:v>
      </x:c>
      <x:c r="I94" s="1"/>
      <x:c r="J94" s="1"/>
      <x:c r="K94" s="1"/>
    </x:row>
    <x:row r="95" ht="24" hidden="0" customHeight="1">
      <x:c r="A95" s="119" t="str">
        <x:v>P0</x:v>
      </x:c>
      <x:c r="B95" s="119" t="str">
        <x:v>RF-M28-03</x:v>
      </x:c>
      <x:c r="C95" s="119" t="str">
        <x:v>CONFIGURAÇÕES</x:v>
      </x:c>
      <x:c r="D95" s="119" t="str">
        <x:v>Modelos de relatórios, orientações, mensagens e variáveis reutilizáveis.</x:v>
      </x:c>
      <x:c r="E95" s="119" t="str">
        <x:v>Parcial</x:v>
      </x:c>
      <x:c r="F95" s="119" t="str">
        <x:v>Faltam configuração institucional completa, temas/modelos, canais reais, painel de serviços e confirmação reforçada uniforme.</x:v>
      </x:c>
      <x:c r="G95" s="119" t="str">
        <x:v>src/nutri_app/ui/pages/settings_page.py; src/nutri_app/services/backup.py; src/nutri_app/services/automatic_backup.py; tests/test_backup_security.py</x:v>
      </x:c>
      <x:c r="H95" s="119" t="str">
        <x:v>Média</x:v>
      </x:c>
      <x:c r="I95" s="1"/>
      <x:c r="J95" s="1"/>
      <x:c r="K95" s="1"/>
    </x:row>
    <x:row r="96" ht="24" hidden="0" customHeight="1">
      <x:c r="A96" s="119" t="str">
        <x:v>P0</x:v>
      </x:c>
      <x:c r="B96" s="119" t="str">
        <x:v>RF-M28-05</x:v>
      </x:c>
      <x:c r="C96" s="119" t="str">
        <x:v>CONFIGURAÇÕES</x:v>
      </x:c>
      <x:c r="D96" s="119" t="str">
        <x:v>Integrações de e-mail, SMS, WhatsApp, calendário, pagamentos, armazenamento e APIs.</x:v>
      </x:c>
      <x:c r="E96" s="119" t="str">
        <x:v>Parcial</x:v>
      </x:c>
      <x:c r="F96" s="119" t="str">
        <x:v>Faltam configuração institucional completa, temas/modelos, canais reais, painel de serviços e confirmação reforçada uniforme.</x:v>
      </x:c>
      <x:c r="G96" s="119" t="str">
        <x:v>src/nutri_app/ui/pages/settings_page.py; src/nutri_app/services/backup.py; src/nutri_app/services/automatic_backup.py; tests/test_backup_security.py</x:v>
      </x:c>
      <x:c r="H96" s="119" t="str">
        <x:v>Média</x:v>
      </x:c>
      <x:c r="I96" s="1"/>
      <x:c r="J96" s="1"/>
      <x:c r="K96" s="1"/>
    </x:row>
    <x:row r="97" ht="24" hidden="0" customHeight="1">
      <x:c r="A97" s="119" t="str">
        <x:v>P0</x:v>
      </x:c>
      <x:c r="B97" s="119" t="str">
        <x:v>RF-M28-06</x:v>
      </x:c>
      <x:c r="C97" s="119" t="str">
        <x:v>CONFIGURAÇÕES</x:v>
      </x:c>
      <x:c r="D97" s="119" t="str">
        <x:v>Sincronização, status de serviços, gestão de segredos e auditoria de alterações.</x:v>
      </x:c>
      <x:c r="E97" s="119" t="str">
        <x:v>Parcial</x:v>
      </x:c>
      <x:c r="F97" s="119" t="str">
        <x:v>Faltam configuração institucional completa, temas/modelos, canais reais, painel de serviços e confirmação reforçada uniforme.</x:v>
      </x:c>
      <x:c r="G97" s="119" t="str">
        <x:v>src/nutri_app/ui/pages/settings_page.py; src/nutri_app/services/backup.py; src/nutri_app/services/automatic_backup.py; tests/test_backup_security.py</x:v>
      </x:c>
      <x:c r="H97" s="119" t="str">
        <x:v>Média</x:v>
      </x:c>
      <x:c r="I97" s="1"/>
      <x:c r="J97" s="1"/>
      <x:c r="K97" s="1"/>
    </x:row>
    <x:row r="98" ht="36" hidden="0" customHeight="1">
      <x:c r="A98" s="119" t="str">
        <x:v>P0</x:v>
      </x:c>
      <x:c r="B98" s="119" t="str">
        <x:v>RF-M29-01</x:v>
      </x:c>
      <x:c r="C98" s="119" t="str">
        <x:v>USUÁRIOS E PERMISSÕES</x:v>
      </x:c>
      <x:c r="D98" s="119" t="str">
        <x:v>Usuários com nome, contato, conselho/UF, unidade, função, status e validade de acesso.</x:v>
      </x:c>
      <x:c r="E98" s="119" t="str">
        <x:v>Parcial</x:v>
      </x:c>
      <x:c r="F98" s="119" t="str">
        <x:v>Faltam perfis/escopos configuráveis completos, recuperação, 2FA, expiração/revogação de sessão, dispositivos e exportação filtrada de auditoria.</x:v>
      </x:c>
      <x:c r="G98" s="119" t="str">
        <x:v>src/nutri_app/services/auth.py; src/nutri_app/services/security.py; src/nutri_app/repositories/user_repository.py; src/nutri_app/repositories/audit_repository.py; tests/test_auth.py</x:v>
      </x:c>
      <x:c r="H98" s="119" t="str">
        <x:v>Média</x:v>
      </x:c>
      <x:c r="I98" s="1"/>
      <x:c r="J98" s="1"/>
      <x:c r="K98" s="1"/>
    </x:row>
    <x:row r="99" ht="36" hidden="0" customHeight="1">
      <x:c r="A99" s="119" t="str">
        <x:v>P0</x:v>
      </x:c>
      <x:c r="B99" s="119" t="str">
        <x:v>RF-M29-02</x:v>
      </x:c>
      <x:c r="C99" s="119" t="str">
        <x:v>USUÁRIOS E PERMISSÕES</x:v>
      </x:c>
      <x:c r="D99" s="119" t="str">
        <x:v>Perfis Administrador, Nutricionista, Coordenador/Gestor, Recepção, Auditor e outros configuráveis.</x:v>
      </x:c>
      <x:c r="E99" s="119" t="str">
        <x:v>Parcial</x:v>
      </x:c>
      <x:c r="F99" s="119" t="str">
        <x:v>Faltam perfis/escopos configuráveis completos, recuperação, 2FA, expiração/revogação de sessão, dispositivos e exportação filtrada de auditoria.</x:v>
      </x:c>
      <x:c r="G99" s="119" t="str">
        <x:v>src/nutri_app/services/auth.py; src/nutri_app/services/security.py; src/nutri_app/repositories/user_repository.py; src/nutri_app/repositories/audit_repository.py; tests/test_auth.py</x:v>
      </x:c>
      <x:c r="H99" s="119" t="str">
        <x:v>Média</x:v>
      </x:c>
      <x:c r="I99" s="1"/>
      <x:c r="J99" s="1"/>
      <x:c r="K99" s="1"/>
    </x:row>
    <x:row r="100" ht="36" hidden="0" customHeight="1">
      <x:c r="A100" s="119" t="str">
        <x:v>P0</x:v>
      </x:c>
      <x:c r="B100" s="119" t="str">
        <x:v>RF-M29-04</x:v>
      </x:c>
      <x:c r="C100" s="119" t="str">
        <x:v>USUÁRIOS E PERMISSÕES</x:v>
      </x:c>
      <x:c r="D100" s="119" t="str">
        <x:v>Escopo por unidade, profissional, paciente e sensibilidade do dado.</x:v>
      </x:c>
      <x:c r="E100" s="119" t="str">
        <x:v>Não identificado</x:v>
      </x:c>
      <x:c r="F100" s="119" t="str">
        <x:v>Não foi identificada evidência suficiente para este requisito. Faltam perfis/escopos configuráveis completos, recuperação, 2FA, expiração/revogação de sessão, dispositivos e exportação filtrada de auditoria.</x:v>
      </x:c>
      <x:c r="G100" s="119" t="str">
        <x:v>src/nutri_app/services/auth.py; src/nutri_app/services/security.py; src/nutri_app/repositories/user_repository.py; src/nutri_app/repositories/audit_repository.py; tests/test_auth.py</x:v>
      </x:c>
      <x:c r="H100" s="119" t="str">
        <x:v>Média</x:v>
      </x:c>
      <x:c r="I100" s="1"/>
      <x:c r="J100" s="1"/>
      <x:c r="K100" s="1"/>
    </x:row>
    <x:row r="101" ht="36" hidden="0" customHeight="1">
      <x:c r="A101" s="119" t="str">
        <x:v>P0</x:v>
      </x:c>
      <x:c r="B101" s="119" t="str">
        <x:v>RF-M29-05</x:v>
      </x:c>
      <x:c r="C101" s="119" t="str">
        <x:v>USUÁRIOS E PERMISSÕES</x:v>
      </x:c>
      <x:c r="D101" s="119" t="str">
        <x:v>Senha forte, troca no primeiro acesso, bloqueio, expiração conforme política, recuperação e 2FA opcional.</x:v>
      </x:c>
      <x:c r="E101" s="119" t="str">
        <x:v>Parcial</x:v>
      </x:c>
      <x:c r="F101" s="119" t="str">
        <x:v>Faltam perfis/escopos configuráveis completos, recuperação, 2FA, expiração/revogação de sessão, dispositivos e exportação filtrada de auditoria.</x:v>
      </x:c>
      <x:c r="G101" s="119" t="str">
        <x:v>src/nutri_app/services/auth.py; src/nutri_app/services/security.py; src/nutri_app/repositories/user_repository.py; src/nutri_app/repositories/audit_repository.py; tests/test_auth.py</x:v>
      </x:c>
      <x:c r="H101" s="119" t="str">
        <x:v>Média</x:v>
      </x:c>
      <x:c r="I101" s="1"/>
      <x:c r="J101" s="1"/>
      <x:c r="K101" s="1"/>
    </x:row>
    <x:row r="102" ht="36" hidden="0" customHeight="1">
      <x:c r="A102" s="119" t="str">
        <x:v>P0</x:v>
      </x:c>
      <x:c r="B102" s="119" t="str">
        <x:v>RF-M29-06</x:v>
      </x:c>
      <x:c r="C102" s="119" t="str">
        <x:v>USUÁRIOS E PERMISSÕES</x:v>
      </x:c>
      <x:c r="D102" s="119" t="str">
        <x:v>Sessão com expiração, revogação, histórico de dispositivos e confirmação para ações críticas.</x:v>
      </x:c>
      <x:c r="E102" s="119" t="str">
        <x:v>Não identificado</x:v>
      </x:c>
      <x:c r="F102" s="119" t="str">
        <x:v>Não foi identificada evidência suficiente para este requisito. Faltam perfis/escopos configuráveis completos, recuperação, 2FA, expiração/revogação de sessão, dispositivos e exportação filtrada de auditoria.</x:v>
      </x:c>
      <x:c r="G102" s="119" t="str">
        <x:v>src/nutri_app/services/auth.py; src/nutri_app/services/security.py; src/nutri_app/repositories/user_repository.py; src/nutri_app/repositories/audit_repository.py; tests/test_auth.py</x:v>
      </x:c>
      <x:c r="H102" s="119" t="str">
        <x:v>Média</x:v>
      </x:c>
      <x:c r="I102" s="1"/>
      <x:c r="J102" s="1"/>
      <x:c r="K102" s="1"/>
    </x:row>
    <x:row r="103" ht="36" hidden="0" customHeight="1">
      <x:c r="A103" s="119" t="str">
        <x:v>P0</x:v>
      </x:c>
      <x:c r="B103" s="119" t="str">
        <x:v>RF-M29-07</x:v>
      </x:c>
      <x:c r="C103" s="119" t="str">
        <x:v>USUÁRIOS E PERMISSÕES</x:v>
      </x:c>
      <x:c r="D103" s="119" t="str">
        <x:v>Logs de acesso e alterações com filtros, valores anteriores/novos e exportação autorizada.</x:v>
      </x:c>
      <x:c r="E103" s="119" t="str">
        <x:v>Parcial</x:v>
      </x:c>
      <x:c r="F103" s="119" t="str">
        <x:v>Faltam perfis/escopos configuráveis completos, recuperação, 2FA, expiração/revogação de sessão, dispositivos e exportação filtrada de auditoria.</x:v>
      </x:c>
      <x:c r="G103" s="119" t="str">
        <x:v>src/nutri_app/services/auth.py; src/nutri_app/services/security.py; src/nutri_app/repositories/user_repository.py; src/nutri_app/repositories/audit_repository.py; tests/test_auth.py</x:v>
      </x:c>
      <x:c r="H103" s="119" t="str">
        <x:v>Média</x:v>
      </x:c>
      <x:c r="I103" s="1"/>
      <x:c r="J103" s="1"/>
      <x:c r="K103" s="1"/>
    </x:row>
    <x:row r="104" ht="48" hidden="0" customHeight="1">
      <x:c r="A104" s="119" t="str">
        <x:v>P0</x:v>
      </x:c>
      <x:c r="B104" s="119" t="str">
        <x:v>RF-M33-01</x:v>
      </x:c>
      <x:c r="C104" s="119" t="str">
        <x:v>PORTAL DO PACIENTE</x:v>
      </x:c>
      <x:c r="D104" s="119" t="str">
        <x:v>Primeiro acesso, confirmação de identidade, senha, recuperação, termos, consentimento e autenticação segura.</x:v>
      </x:c>
      <x:c r="E104" s="119" t="str">
        <x:v>Parcial</x:v>
      </x:c>
      <x:c r="F104" s="119" t="str">
        <x:v>Faltam senha/recuperação/termos robustos, expiração e revogação de sessões, agenda/documentos completos, uploads, mensagens, notificações e dispositivos.</x:v>
      </x:c>
      <x:c r="G104" s="119" t="str">
        <x:v>src/nutri_app/services/patient_portal_server.py; src/nutri_app/ui/resources/patient_portal.html; tests/test_patient_portal_server.py; src/nutri_app/ui/pages/patient_app_page.py</x:v>
      </x:c>
      <x:c r="H104" s="119" t="str">
        <x:v>Média</x:v>
      </x:c>
      <x:c r="I104" s="1"/>
      <x:c r="J104" s="1"/>
      <x:c r="K104" s="1"/>
    </x:row>
    <x:row r="105" ht="48" hidden="0" customHeight="1">
      <x:c r="A105" s="119" t="str">
        <x:v>P0</x:v>
      </x:c>
      <x:c r="B105" s="119" t="str">
        <x:v>RF-M33-02</x:v>
      </x:c>
      <x:c r="C105" s="119" t="str">
        <x:v>PORTAL DO PACIENTE</x:v>
      </x:c>
      <x:c r="D105" s="119" t="str">
        <x:v>Visualização de agenda, planos, receitas, orientações, documentos e publicações liberadas.</x:v>
      </x:c>
      <x:c r="E105" s="119" t="str">
        <x:v>Parcial</x:v>
      </x:c>
      <x:c r="F105" s="119" t="str">
        <x:v>Faltam senha/recuperação/termos robustos, expiração e revogação de sessões, agenda/documentos completos, uploads, mensagens, notificações e dispositivos.</x:v>
      </x:c>
      <x:c r="G105" s="119" t="str">
        <x:v>src/nutri_app/services/patient_portal_server.py; src/nutri_app/ui/resources/patient_portal.html; tests/test_patient_portal_server.py; src/nutri_app/ui/pages/patient_app_page.py</x:v>
      </x:c>
      <x:c r="H105" s="119" t="str">
        <x:v>Média</x:v>
      </x:c>
      <x:c r="I105" s="1"/>
      <x:c r="J105" s="1"/>
      <x:c r="K105" s="1"/>
    </x:row>
    <x:row r="106" ht="48" hidden="0" customHeight="1">
      <x:c r="A106" s="119" t="str">
        <x:v>P0</x:v>
      </x:c>
      <x:c r="B106" s="119" t="str">
        <x:v>RF-M33-03</x:v>
      </x:c>
      <x:c r="C106" s="119" t="str">
        <x:v>PORTAL DO PACIENTE</x:v>
      </x:c>
      <x:c r="D106" s="119" t="str">
        <x:v>Registro de peso, medidas autorizadas, adesão, aceitação, consumo hídrico, sintomas, fome/saciedade e humor.</x:v>
      </x:c>
      <x:c r="E106" s="119" t="str">
        <x:v>Parcial</x:v>
      </x:c>
      <x:c r="F106" s="119" t="str">
        <x:v>Faltam senha/recuperação/termos robustos, expiração e revogação de sessões, agenda/documentos completos, uploads, mensagens, notificações e dispositivos.</x:v>
      </x:c>
      <x:c r="G106" s="119" t="str">
        <x:v>src/nutri_app/services/patient_portal_server.py; src/nutri_app/ui/resources/patient_portal.html; tests/test_patient_portal_server.py; src/nutri_app/ui/pages/patient_app_page.py</x:v>
      </x:c>
      <x:c r="H106" s="119" t="str">
        <x:v>Média</x:v>
      </x:c>
      <x:c r="I106" s="1"/>
      <x:c r="J106" s="1"/>
      <x:c r="K106" s="1"/>
    </x:row>
    <x:row r="107" ht="48" hidden="0" customHeight="1">
      <x:c r="A107" s="119" t="str">
        <x:v>P0</x:v>
      </x:c>
      <x:c r="B107" s="119" t="str">
        <x:v>RF-M33-04</x:v>
      </x:c>
      <x:c r="C107" s="119" t="str">
        <x:v>PORTAL DO PACIENTE</x:v>
      </x:c>
      <x:c r="D107" s="119" t="str">
        <x:v>Envio autorizado de fotos/arquivos e comunicação com a equipe, com moderação e histórico.</x:v>
      </x:c>
      <x:c r="E107" s="119" t="str">
        <x:v>Não identificado</x:v>
      </x:c>
      <x:c r="F107" s="119" t="str">
        <x:v>Não foi identificada evidência suficiente para este requisito. Faltam senha/recuperação/termos robustos, expiração e revogação de sessões, agenda/documentos completos, uploads, mensagens, notificações e dispositivos.</x:v>
      </x:c>
      <x:c r="G107" s="119" t="str">
        <x:v>src/nutri_app/services/patient_portal_server.py; src/nutri_app/ui/resources/patient_portal.html; tests/test_patient_portal_server.py; src/nutri_app/ui/pages/patient_app_page.py</x:v>
      </x:c>
      <x:c r="H107" s="119" t="str">
        <x:v>Média</x:v>
      </x:c>
      <x:c r="I107" s="1"/>
      <x:c r="J107" s="1"/>
      <x:c r="K107" s="1"/>
    </x:row>
    <x:row r="108" ht="48" hidden="0" customHeight="1">
      <x:c r="A108" s="119" t="str">
        <x:v>P0</x:v>
      </x:c>
      <x:c r="B108" s="119" t="str">
        <x:v>RF-M33-05</x:v>
      </x:c>
      <x:c r="C108" s="119" t="str">
        <x:v>PORTAL DO PACIENTE</x:v>
      </x:c>
      <x:c r="D108" s="119" t="str">
        <x:v>Lembretes, notificações, confirmação de consultas e acompanhamento de pacotes/pagamentos quando habilitado.</x:v>
      </x:c>
      <x:c r="E108" s="119" t="str">
        <x:v>Não identificado</x:v>
      </x:c>
      <x:c r="F108" s="119" t="str">
        <x:v>Não foi identificada evidência suficiente para este requisito. Faltam senha/recuperação/termos robustos, expiração e revogação de sessões, agenda/documentos completos, uploads, mensagens, notificações e dispositivos.</x:v>
      </x:c>
      <x:c r="G108" s="119" t="str">
        <x:v>src/nutri_app/services/patient_portal_server.py; src/nutri_app/ui/resources/patient_portal.html; tests/test_patient_portal_server.py; src/nutri_app/ui/pages/patient_app_page.py</x:v>
      </x:c>
      <x:c r="H108" s="119" t="str">
        <x:v>Média</x:v>
      </x:c>
      <x:c r="I108" s="1"/>
      <x:c r="J108" s="1"/>
      <x:c r="K108" s="1"/>
    </x:row>
    <x:row r="109" ht="48" hidden="0" customHeight="1">
      <x:c r="A109" s="119" t="str">
        <x:v>P0</x:v>
      </x:c>
      <x:c r="B109" s="119" t="str">
        <x:v>RF-M33-06</x:v>
      </x:c>
      <x:c r="C109" s="119" t="str">
        <x:v>PORTAL DO PACIENTE</x:v>
      </x:c>
      <x:c r="D109" s="119" t="str">
        <x:v>Sincronização com o prontuário, identificação clara da origem paciente e revisão profissional.</x:v>
      </x:c>
      <x:c r="E109" s="119" t="str">
        <x:v>Parcial</x:v>
      </x:c>
      <x:c r="F109" s="119" t="str">
        <x:v>Faltam senha/recuperação/termos robustos, expiração e revogação de sessões, agenda/documentos completos, uploads, mensagens, notificações e dispositivos.</x:v>
      </x:c>
      <x:c r="G109" s="119" t="str">
        <x:v>src/nutri_app/services/patient_portal_server.py; src/nutri_app/ui/resources/patient_portal.html; tests/test_patient_portal_server.py; src/nutri_app/ui/pages/patient_app_page.py</x:v>
      </x:c>
      <x:c r="H109" s="119" t="str">
        <x:v>Média</x:v>
      </x:c>
      <x:c r="I109" s="1"/>
      <x:c r="J109" s="1"/>
      <x:c r="K109" s="1"/>
    </x:row>
    <x:row r="110" ht="48" hidden="0" customHeight="1">
      <x:c r="A110" s="119" t="str">
        <x:v>P0</x:v>
      </x:c>
      <x:c r="B110" s="119" t="str">
        <x:v>RF-M34-01</x:v>
      </x:c>
      <x:c r="C110" s="119" t="str">
        <x:v>ADMINISTRAÇÃO</x:v>
      </x:c>
      <x:c r="D110" s="119" t="str">
        <x:v>Painel de usuários, permissões, segurança, backup, LGPD, logs, configurações, integrações e status do sistema.</x:v>
      </x:c>
      <x:c r="E110" s="119" t="str">
        <x:v>Parcial</x:v>
      </x:c>
      <x:c r="F110" s="119" t="str">
        <x:v>Falta painel administrativo unificado, monitoramento de banco/filas/falhas, fluxos de aprovação e exportação administrativa/auditoria completa.</x:v>
      </x:c>
      <x:c r="G110" s="119" t="str">
        <x:v>src/nutri_app/ui/pages/users_page.py; src/nutri_app/ui/pages/settings_page.py; src/nutri_app/ui/pages/deployment_page.py; src/nutri_app/ui/pages/clinical_governance_page.py</x:v>
      </x:c>
      <x:c r="H110" s="119" t="str">
        <x:v>Média</x:v>
      </x:c>
      <x:c r="I110" s="1"/>
      <x:c r="J110" s="1"/>
      <x:c r="K110" s="1"/>
    </x:row>
    <x:row r="111" ht="48" hidden="0" customHeight="1">
      <x:c r="A111" s="119" t="str">
        <x:v>P0</x:v>
      </x:c>
      <x:c r="B111" s="119" t="str">
        <x:v>RF-M34-02</x:v>
      </x:c>
      <x:c r="C111" s="119" t="str">
        <x:v>ADMINISTRAÇÃO</x:v>
      </x:c>
      <x:c r="D111" s="119" t="str">
        <x:v>Solicitações de acesso, correção, exportação, anonimização e retenção com fluxo de aprovação.</x:v>
      </x:c>
      <x:c r="E111" s="119" t="str">
        <x:v>Parcial</x:v>
      </x:c>
      <x:c r="F111" s="119" t="str">
        <x:v>Falta painel administrativo unificado, monitoramento de banco/filas/falhas, fluxos de aprovação e exportação administrativa/auditoria completa.</x:v>
      </x:c>
      <x:c r="G111" s="119" t="str">
        <x:v>src/nutri_app/ui/pages/users_page.py; src/nutri_app/ui/pages/settings_page.py; src/nutri_app/ui/pages/deployment_page.py; src/nutri_app/ui/pages/clinical_governance_page.py</x:v>
      </x:c>
      <x:c r="H111" s="119" t="str">
        <x:v>Média</x:v>
      </x:c>
      <x:c r="I111" s="1"/>
      <x:c r="J111" s="1"/>
      <x:c r="K111" s="1"/>
    </x:row>
    <x:row r="112" ht="48" hidden="0" customHeight="1">
      <x:c r="A112" s="119" t="str">
        <x:v>P0</x:v>
      </x:c>
      <x:c r="B112" s="119" t="str">
        <x:v>RF-M34-03</x:v>
      </x:c>
      <x:c r="C112" s="119" t="str">
        <x:v>ADMINISTRAÇÃO</x:v>
      </x:c>
      <x:c r="D112" s="119" t="str">
        <x:v>Governança clínica de referências, versões, revisores, CRN, evidências e pendências de validação.</x:v>
      </x:c>
      <x:c r="E112" s="119" t="str">
        <x:v>Parcial</x:v>
      </x:c>
      <x:c r="F112" s="119" t="str">
        <x:v>Falta painel administrativo unificado, monitoramento de banco/filas/falhas, fluxos de aprovação e exportação administrativa/auditoria completa.</x:v>
      </x:c>
      <x:c r="G112" s="119" t="str">
        <x:v>src/nutri_app/ui/pages/users_page.py; src/nutri_app/ui/pages/settings_page.py; src/nutri_app/ui/pages/deployment_page.py; src/nutri_app/ui/pages/clinical_governance_page.py</x:v>
      </x:c>
      <x:c r="H112" s="119" t="str">
        <x:v>Média</x:v>
      </x:c>
      <x:c r="I112" s="1"/>
      <x:c r="J112" s="1"/>
      <x:c r="K112" s="1"/>
    </x:row>
    <x:row r="113" ht="48" hidden="0" customHeight="1">
      <x:c r="A113" s="119" t="str">
        <x:v>P0</x:v>
      </x:c>
      <x:c r="B113" s="119" t="str">
        <x:v>RF-M34-04</x:v>
      </x:c>
      <x:c r="C113" s="119" t="str">
        <x:v>ADMINISTRAÇÃO</x:v>
      </x:c>
      <x:c r="D113" s="119" t="str">
        <x:v>Monitoramento de migrações, espaço, integridade do banco, backups, filas, integrações e falhas.</x:v>
      </x:c>
      <x:c r="E113" s="119" t="str">
        <x:v>Parcial</x:v>
      </x:c>
      <x:c r="F113" s="119" t="str">
        <x:v>Falta painel administrativo unificado, monitoramento de banco/filas/falhas, fluxos de aprovação e exportação administrativa/auditoria completa.</x:v>
      </x:c>
      <x:c r="G113" s="119" t="str">
        <x:v>src/nutri_app/ui/pages/users_page.py; src/nutri_app/ui/pages/settings_page.py; src/nutri_app/ui/pages/deployment_page.py; src/nutri_app/ui/pages/clinical_governance_page.py</x:v>
      </x:c>
      <x:c r="H113" s="119" t="str">
        <x:v>Média</x:v>
      </x:c>
      <x:c r="I113" s="1"/>
      <x:c r="J113" s="1"/>
      <x:c r="K113" s="1"/>
    </x:row>
    <x:row r="114" ht="48" hidden="0" customHeight="1">
      <x:c r="A114" s="119" t="str">
        <x:v>P0</x:v>
      </x:c>
      <x:c r="B114" s="119" t="str">
        <x:v>RF-M34-06</x:v>
      </x:c>
      <x:c r="C114" s="119" t="str">
        <x:v>ADMINISTRAÇÃO</x:v>
      </x:c>
      <x:c r="D114" s="119" t="str">
        <x:v>Exportação de auditoria e relatórios administrativos conforme permissão.</x:v>
      </x:c>
      <x:c r="E114" s="119" t="str">
        <x:v>Parcial</x:v>
      </x:c>
      <x:c r="F114" s="119" t="str">
        <x:v>Falta painel administrativo unificado, monitoramento de banco/filas/falhas, fluxos de aprovação e exportação administrativa/auditoria completa.</x:v>
      </x:c>
      <x:c r="G114" s="119" t="str">
        <x:v>src/nutri_app/ui/pages/users_page.py; src/nutri_app/ui/pages/settings_page.py; src/nutri_app/ui/pages/deployment_page.py; src/nutri_app/ui/pages/clinical_governance_page.py</x:v>
      </x:c>
      <x:c r="H114" s="119" t="str">
        <x:v>Média</x:v>
      </x:c>
      <x:c r="I114" s="1"/>
      <x:c r="J114" s="1"/>
      <x:c r="K114" s="1"/>
    </x:row>
    <x:row r="115" ht="48" hidden="0" customHeight="1">
      <x:c r="A115" s="119" t="str">
        <x:v>P0</x:v>
      </x:c>
      <x:c r="B115" s="119" t="str">
        <x:v>RN-M02-01</x:v>
      </x:c>
      <x:c r="C115" s="119" t="str">
        <x:v>PACIENTES (PRONTUÁRIO E INTERNAÇÕES)</x:v>
      </x:c>
      <x:c r="D115" s="119" t="str">
        <x:v>CPF, CNS e prontuário devem possuir validação e política de unicidade configurável.</x:v>
      </x:c>
      <x:c r="E115" s="119" t="str">
        <x:v>Não identificado</x:v>
      </x:c>
      <x:c r="F115" s="119" t="str">
        <x:v>Não foi identificada evidência suficiente para este requisito. Faltam prontuário/internação estruturados, unidade/leito/equipe, campos completos de identidade, unicidade de CPF/CNS e ações rápidas.</x:v>
      </x:c>
      <x:c r="G115" s="119" t="str">
        <x:v>src/nutri_app/ui/pages/patients_page.py; src/nutri_app/repositories/patient_repository.py; src/nutri_app/services/privacy.py; tests/test_patient_repository.py; tests/test_privacy.py</x:v>
      </x:c>
      <x:c r="H115" s="119" t="str">
        <x:v>Média</x:v>
      </x:c>
      <x:c r="I115" s="1"/>
      <x:c r="J115" s="1"/>
      <x:c r="K115" s="1"/>
    </x:row>
    <x:row r="116" ht="48" hidden="0" customHeight="1">
      <x:c r="A116" s="119" t="str">
        <x:v>P0</x:v>
      </x:c>
      <x:c r="B116" s="119" t="str">
        <x:v>RN-M04-01</x:v>
      </x:c>
      <x:c r="C116" s="119" t="str">
        <x:v>ANAMNESE</x:v>
      </x:c>
      <x:c r="D116" s="119" t="str">
        <x:v>Perguntas condicionais devem ocultar campos não aplicáveis sem apagar respostas previamente confirmadas.</x:v>
      </x:c>
      <x:c r="E116" s="119" t="str">
        <x:v>Parcial</x:v>
      </x:c>
      <x:c r="F116" s="119" t="str">
        <x:v>Faltam dados clínicos estruturados mais completos, interações, reações/alergias com destaque transversal e lógica condicional versionada.</x:v>
      </x:c>
      <x:c r="G116" s="119" t="str">
        <x:v>src/nutri_app/ui/anamnesis_form.py; src/nutri_app/ui/pages/anamnesis_page.py; src/nutri_app/repositories/anamnesis_repository.py; tests/test_anamnesis_repository.py</x:v>
      </x:c>
      <x:c r="H116" s="119" t="str">
        <x:v>Média</x:v>
      </x:c>
      <x:c r="I116" s="1"/>
      <x:c r="J116" s="1"/>
      <x:c r="K116" s="1"/>
    </x:row>
    <x:row r="117" ht="48" hidden="0" customHeight="1">
      <x:c r="A117" s="119" t="str">
        <x:v>P0</x:v>
      </x:c>
      <x:c r="B117" s="119" t="str">
        <x:v>RN-M04-02</x:v>
      </x:c>
      <x:c r="C117" s="119" t="str">
        <x:v>ANAMNESE</x:v>
      </x:c>
      <x:c r="D117" s="119" t="str">
        <x:v>Dados já disponíveis em outro módulo devem ser vinculados em modo leitura, evitando repetição.</x:v>
      </x:c>
      <x:c r="E117" s="119" t="str">
        <x:v>Parcial</x:v>
      </x:c>
      <x:c r="F117" s="119" t="str">
        <x:v>Faltam dados clínicos estruturados mais completos, interações, reações/alergias com destaque transversal e lógica condicional versionada.</x:v>
      </x:c>
      <x:c r="G117" s="119" t="str">
        <x:v>src/nutri_app/ui/anamnesis_form.py; src/nutri_app/ui/pages/anamnesis_page.py; src/nutri_app/repositories/anamnesis_repository.py; tests/test_anamnesis_repository.py</x:v>
      </x:c>
      <x:c r="H117" s="119" t="str">
        <x:v>Média</x:v>
      </x:c>
      <x:c r="I117" s="1"/>
      <x:c r="J117" s="1"/>
      <x:c r="K117" s="1"/>
    </x:row>
    <x:row r="118" ht="60" hidden="0" customHeight="1">
      <x:c r="A118" s="119" t="str">
        <x:v>P0</x:v>
      </x:c>
      <x:c r="B118" s="119" t="str">
        <x:v>RN-M05-01</x:v>
      </x:c>
      <x:c r="C118" s="119" t="str">
        <x:v>AVALIAÇÃO ANTROPOMÉTRICA</x:v>
      </x:c>
      <x:c r="D118" s="119" t="str">
        <x:v>Toda fórmula deve registrar nome, versão, fonte, entradas, resultado e arredondamento.</x:v>
      </x:c>
      <x:c r="E118" s="119" t="str">
        <x:v>Parcial</x:v>
      </x:c>
      <x:c r="F118" s="119" t="str">
        <x:v>Faltam metadados de método/equipamento/lado, bioimpedância bruta completa e governança/memória versionada de todas as fórmulas.</x:v>
      </x:c>
      <x:c r="G118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118" s="119" t="str">
        <x:v>Média</x:v>
      </x:c>
      <x:c r="I118" s="1"/>
      <x:c r="J118" s="1"/>
      <x:c r="K118" s="1"/>
    </x:row>
    <x:row r="119" ht="60" hidden="0" customHeight="1">
      <x:c r="A119" s="119" t="str">
        <x:v>P0</x:v>
      </x:c>
      <x:c r="B119" s="119" t="str">
        <x:v>RN-M05-02</x:v>
      </x:c>
      <x:c r="C119" s="119" t="str">
        <x:v>AVALIAÇÃO ANTROPOMÉTRICA</x:v>
      </x:c>
      <x:c r="D119" s="119" t="str">
        <x:v>Referências pediátricas, geriátricas, gestacionais e especiais exigem validação profissional antes do uso clínico.</x:v>
      </x:c>
      <x:c r="E119" s="119" t="str">
        <x:v>Parcial</x:v>
      </x:c>
      <x:c r="F119" s="119" t="str">
        <x:v>Faltam metadados de método/equipamento/lado, bioimpedância bruta completa e governança/memória versionada de todas as fórmulas.</x:v>
      </x:c>
      <x:c r="G119" s="119" t="str">
        <x:v>src/nutri_app/ui/pages/anthropometry_page.py; src/nutri_app/ui/pages/body_composition_page.py; src/nutri_app/services/anthropometry.py; src/nutri_app/services/body_composition.py; tests/test_anthropometry.py; tests/test_body_composition.py</x:v>
      </x:c>
      <x:c r="H119" s="119" t="str">
        <x:v>Média</x:v>
      </x:c>
      <x:c r="I119" s="1"/>
      <x:c r="J119" s="1"/>
      <x:c r="K119" s="1"/>
    </x:row>
    <x:row r="120" ht="24" hidden="0" customHeight="1">
      <x:c r="A120" s="119" t="str">
        <x:v>P0</x:v>
      </x:c>
      <x:c r="B120" s="119" t="str">
        <x:v>RN-M06-02</x:v>
      </x:c>
      <x:c r="C120" s="119" t="str">
        <x:v>AVALIAÇÃO CLÍNICA</x:v>
      </x:c>
      <x:c r="D120" s="119" t="str">
        <x:v>Achados ausentes, não avaliados e não aplicáveis devem ser estados distintos.</x:v>
      </x:c>
      <x:c r="E120" s="119" t="str">
        <x:v>Parcial</x:v>
      </x:c>
      <x:c r="F120" s="119" t="str">
        <x:v>Falta módulo dedicado de exame físico nutricional com regiões anatômicas, estados semânticos, imagens, comparação e vínculo formal com diagnóstico/evolução.</x:v>
      </x:c>
      <x:c r="G120" s="119" t="str">
        <x:v>src/nutri_app/services/advanced_clinical.py; src/nutri_app/ui/pages/advanced_module_page.py</x:v>
      </x:c>
      <x:c r="H120" s="119" t="str">
        <x:v>Média</x:v>
      </x:c>
      <x:c r="I120" s="1"/>
      <x:c r="J120" s="1"/>
      <x:c r="K120" s="1"/>
    </x:row>
    <x:row r="121" ht="48" hidden="0" customHeight="1">
      <x:c r="A121" s="119" t="str">
        <x:v>P0</x:v>
      </x:c>
      <x:c r="B121" s="119" t="str">
        <x:v>RN-M07-01</x:v>
      </x:c>
      <x:c r="C121" s="119" t="str">
        <x:v>EXAMES LABORATORIAIS</x:v>
      </x:c>
      <x:c r="D121" s="119" t="str">
        <x:v>Não converter unidades nem inferir criticidade sem regra validada e memória de cálculo.</x:v>
      </x:c>
      <x:c r="E121" s="119" t="str">
        <x:v>Parcial</x:v>
      </x:c>
      <x:c r="F121" s="119" t="str">
        <x:v>Faltam painéis completos, anexos, referências versionadas por perfil, deduplicação robusta e correções por nova versão imutável.</x:v>
      </x:c>
      <x:c r="G121" s="119" t="str">
        <x:v>src/nutri_app/ui/pages/laboratory_exams_page.py; src/nutri_app/repositories/laboratory_exam_repository.py; src/nutri_app/services/integration.py; tests/test_laboratory_exam.py; tests/test_integrations.py</x:v>
      </x:c>
      <x:c r="H121" s="119" t="str">
        <x:v>Média</x:v>
      </x:c>
      <x:c r="I121" s="1"/>
      <x:c r="J121" s="1"/>
      <x:c r="K121" s="1"/>
    </x:row>
    <x:row r="122" ht="48" hidden="0" customHeight="1">
      <x:c r="A122" s="119" t="str">
        <x:v>P0</x:v>
      </x:c>
      <x:c r="B122" s="119" t="str">
        <x:v>RN-M07-02</x:v>
      </x:c>
      <x:c r="C122" s="119" t="str">
        <x:v>EXAMES LABORATORIAIS</x:v>
      </x:c>
      <x:c r="D122" s="119" t="str">
        <x:v>Resultado original importado deve permanecer imutável; correções são registradas como nova versão.</x:v>
      </x:c>
      <x:c r="E122" s="119" t="str">
        <x:v>Não identificado</x:v>
      </x:c>
      <x:c r="F122" s="119" t="str">
        <x:v>Não foi identificada evidência suficiente para este requisito. Faltam painéis completos, anexos, referências versionadas por perfil, deduplicação robusta e correções por nova versão imutável.</x:v>
      </x:c>
      <x:c r="G122" s="119" t="str">
        <x:v>src/nutri_app/ui/pages/laboratory_exams_page.py; src/nutri_app/repositories/laboratory_exam_repository.py; src/nutri_app/services/integration.py; tests/test_laboratory_exam.py; tests/test_integrations.py</x:v>
      </x:c>
      <x:c r="H122" s="119" t="str">
        <x:v>Média</x:v>
      </x:c>
      <x:c r="I122" s="1"/>
      <x:c r="J122" s="1"/>
      <x:c r="K122" s="1"/>
    </x:row>
    <x:row r="123" ht="36" hidden="0" customHeight="1">
      <x:c r="A123" s="119" t="str">
        <x:v>P0</x:v>
      </x:c>
      <x:c r="B123" s="119" t="str">
        <x:v>RN-M10-02</x:v>
      </x:c>
      <x:c r="C123" s="119" t="str">
        <x:v>GASTO ENERGÉTICO</x:v>
      </x:c>
      <x:c r="D123" s="119" t="str">
        <x:v>Resultados adotados alimentam necessidades, prescrição e plano sem duplicar fórmulas.</x:v>
      </x:c>
      <x:c r="E123" s="119" t="str">
        <x:v>Parcial</x:v>
      </x:c>
      <x:c r="F123" s="119" t="str">
        <x:v>Faltam Penn State/regra de bolso configurável, rastreio completo da origem do peso e aprovação formal de todas as versões clínicas.</x:v>
      </x:c>
      <x:c r="G123" s="119" t="str">
        <x:v>src/nutri_app/services/energy_expenditure.py; src/nutri_app/ui/pages/energy_expenditure_page.py; tests/test_energy_expenditure.py; tests/test_clinical_validation.py</x:v>
      </x:c>
      <x:c r="H123" s="119" t="str">
        <x:v>Média</x:v>
      </x:c>
      <x:c r="I123" s="1"/>
      <x:c r="J123" s="1"/>
      <x:c r="K123" s="1"/>
    </x:row>
    <x:row r="124" ht="24" hidden="0" customHeight="1">
      <x:c r="A124" s="119" t="str">
        <x:v>P0</x:v>
      </x:c>
      <x:c r="B124" s="119" t="str">
        <x:v>RN-M11-02</x:v>
      </x:c>
      <x:c r="C124" s="119" t="str">
        <x:v>NECESSIDADES NUTRICIONAIS</x:v>
      </x:c>
      <x:c r="D124" s="119" t="str">
        <x:v>Metas sugeridas exigem confirmação do nutricionista e registram fonte e versão.</x:v>
      </x:c>
      <x:c r="E124" s="119" t="str">
        <x:v>Parcial</x:v>
      </x:c>
      <x:c r="F124" s="119" t="str">
        <x:v>Faltam módulo próprio, metas hídricas/micronutrientes completas, vias terapêuticas e comparativo meta versus prescrito versus consumido.</x:v>
      </x:c>
      <x:c r="G124" s="119" t="str">
        <x:v>src/nutri_app/services/energy_expenditure.py; src/nutri_app/services/meal_plan.py; database/schema.sql</x:v>
      </x:c>
      <x:c r="H124" s="119" t="str">
        <x:v>Média</x:v>
      </x:c>
      <x:c r="I124" s="1"/>
      <x:c r="J124" s="1"/>
      <x:c r="K124" s="1"/>
    </x:row>
    <x:row r="125" ht="36" hidden="0" customHeight="1">
      <x:c r="A125" s="119" t="str">
        <x:v>P0</x:v>
      </x:c>
      <x:c r="B125" s="119" t="str">
        <x:v>RN-M12-02</x:v>
      </x:c>
      <x:c r="C125" s="119" t="str">
        <x:v>DIAGNÓSTICO NUTRICIONAL</x:v>
      </x:c>
      <x:c r="D125" s="119" t="str">
        <x:v>Terminologia, protocolo e critérios precisam ser versionados e aprovados na governança clínica.</x:v>
      </x:c>
      <x:c r="E125" s="119" t="str">
        <x:v>Parcial</x:v>
      </x:c>
      <x:c r="F125" s="119" t="str">
        <x:v>Faltam PES completo, vínculos automáticos abrangentes, estados ativo/resolvido/substituído e aprovação de todas as terminologias.</x:v>
      </x:c>
      <x:c r="G125" s="119" t="str">
        <x:v>src/nutri_app/ui/pages/nutrition_diagnosis_page.py; src/nutri_app/services/nutrition_diagnosis.py; src/nutri_app/services/clinical_validation.py; tests/test_nutrition_diagnosis.py</x:v>
      </x:c>
      <x:c r="H125" s="119" t="str">
        <x:v>Média</x:v>
      </x:c>
      <x:c r="I125" s="1"/>
      <x:c r="J125" s="1"/>
      <x:c r="K125" s="1"/>
    </x:row>
    <x:row r="126" ht="24" hidden="0" customHeight="1">
      <x:c r="A126" s="119" t="str">
        <x:v>P0</x:v>
      </x:c>
      <x:c r="B126" s="119" t="str">
        <x:v>RN-M13-01</x:v>
      </x:c>
      <x:c r="C126" s="119" t="str">
        <x:v>PRESCRIÇÃO NUTRICIONAL</x:v>
      </x:c>
      <x:c r="D126" s="119" t="str">
        <x:v>Valores sugeridos são editáveis e exigem confirmação; alergias e incompatibilidades devem gerar alertas não silenciosos.</x:v>
      </x:c>
      <x:c r="E126" s="119" t="str">
        <x:v>Parcial</x:v>
      </x:c>
      <x:c r="F126" s="119" t="str">
        <x:v>Não há entidade/tela de prescrição nutricional integrada, assinável, versionada e com suspensão/validade.</x:v>
      </x:c>
      <x:c r="G126" s="119" t="str">
        <x:v>database/schema.sql; src/nutri_app/ui/main_window.py</x:v>
      </x:c>
      <x:c r="H126" s="119" t="str">
        <x:v>Média</x:v>
      </x:c>
      <x:c r="I126" s="1"/>
      <x:c r="J126" s="1"/>
      <x:c r="K126" s="1"/>
    </x:row>
    <x:row r="127" ht="24" hidden="0" customHeight="1">
      <x:c r="A127" s="119" t="str">
        <x:v>P0</x:v>
      </x:c>
      <x:c r="B127" s="119" t="str">
        <x:v>RN-M13-02</x:v>
      </x:c>
      <x:c r="C127" s="119" t="str">
        <x:v>PRESCRIÇÃO NUTRICIONAL</x:v>
      </x:c>
      <x:c r="D127" s="119" t="str">
        <x:v>Assinatura digital depende de identidade profissional e certificado configurado quando exigido.</x:v>
      </x:c>
      <x:c r="E127" s="119" t="str">
        <x:v>Não identificado</x:v>
      </x:c>
      <x:c r="F127" s="119" t="str">
        <x:v>Não foi identificada evidência suficiente para este requisito. Não há entidade/tela de prescrição nutricional integrada, assinável, versionada e com suspensão/validade.</x:v>
      </x:c>
      <x:c r="G127" s="119" t="str">
        <x:v>database/schema.sql; src/nutri_app/ui/main_window.py</x:v>
      </x:c>
      <x:c r="H127" s="119" t="str">
        <x:v>Média</x:v>
      </x:c>
      <x:c r="I127" s="1"/>
      <x:c r="J127" s="1"/>
      <x:c r="K127" s="1"/>
    </x:row>
    <x:row r="128" ht="24" hidden="0" customHeight="1">
      <x:c r="A128" s="119" t="str">
        <x:v>P0</x:v>
      </x:c>
      <x:c r="B128" s="119" t="str">
        <x:v>RN-M18-01</x:v>
      </x:c>
      <x:c r="C128" s="119" t="str">
        <x:v>SUPLEMENTAÇÃO NUTRICIONAL</x:v>
      </x:c>
      <x:c r="D128" s="119" t="str">
        <x:v>Limites, interações e alertas dependem de fontes regulatórias/profissionais versionadas.</x:v>
      </x:c>
      <x:c r="E128" s="119" t="str">
        <x:v>Parcial</x:v>
      </x:c>
      <x:c r="F128" s="119" t="str">
        <x:v>Faltam prescrição por paciente, horários/duração, adesão/intercorrências, integração clínica e regras versionadas de interação/limites.</x:v>
      </x:c>
      <x:c r="G128" s="119" t="str">
        <x:v>src/nutri_app/ui/pages/supplements_page.py; src/nutri_app/services/supplement.py; tests/test_supplements.py</x:v>
      </x:c>
      <x:c r="H128" s="119" t="str">
        <x:v>Média</x:v>
      </x:c>
      <x:c r="I128" s="1"/>
      <x:c r="J128" s="1"/>
      <x:c r="K128" s="1"/>
    </x:row>
    <x:row r="129" ht="24" hidden="0" customHeight="1">
      <x:c r="A129" s="119" t="str">
        <x:v>P0</x:v>
      </x:c>
      <x:c r="B129" s="119" t="str">
        <x:v>RN-M18-02</x:v>
      </x:c>
      <x:c r="C129" s="119" t="str">
        <x:v>SUPLEMENTAÇÃO NUTRICIONAL</x:v>
      </x:c>
      <x:c r="D129" s="119" t="str">
        <x:v>Produto e prescrição são entidades distintas; alterar o catálogo não modifica prescrições históricas.</x:v>
      </x:c>
      <x:c r="E129" s="119" t="str">
        <x:v>Parcial</x:v>
      </x:c>
      <x:c r="F129" s="119" t="str">
        <x:v>Faltam prescrição por paciente, horários/duração, adesão/intercorrências, integração clínica e regras versionadas de interação/limites.</x:v>
      </x:c>
      <x:c r="G129" s="119" t="str">
        <x:v>src/nutri_app/ui/pages/supplements_page.py; src/nutri_app/services/supplement.py; tests/test_supplements.py</x:v>
      </x:c>
      <x:c r="H129" s="119" t="str">
        <x:v>Média</x:v>
      </x:c>
      <x:c r="I129" s="1"/>
      <x:c r="J129" s="1"/>
      <x:c r="K129" s="1"/>
    </x:row>
    <x:row r="130" ht="24" hidden="0" customHeight="1">
      <x:c r="A130" s="119" t="str">
        <x:v>P0</x:v>
      </x:c>
      <x:c r="B130" s="119" t="str">
        <x:v>RN-M19-01</x:v>
      </x:c>
      <x:c r="C130" s="119" t="str">
        <x:v>TERAPIA NUTRICIONAL ENTERAL (TNE)</x:v>
      </x:c>
      <x:c r="D130" s="119" t="str">
        <x:v>Fórmulas e limites clínicos devem ser validados e versionados; o profissional confirma a prescrição.</x:v>
      </x:c>
      <x:c r="E130" s="119" t="str">
        <x:v>Parcial</x:v>
      </x:c>
      <x:c r="F130" s="119" t="str">
        <x:v>Faltam prescrição enteral completa, vias/métodos, evolução administrada, tolerância, intercorrências, alertas e assinatura.</x:v>
      </x:c>
      <x:c r="G130" s="119" t="str">
        <x:v>src/nutri_app/services/advanced_clinical.py; src/nutri_app/ui/pages/advanced_module_page.py</x:v>
      </x:c>
      <x:c r="H130" s="119" t="str">
        <x:v>Média</x:v>
      </x:c>
      <x:c r="I130" s="1"/>
      <x:c r="J130" s="1"/>
      <x:c r="K130" s="1"/>
    </x:row>
    <x:row r="131" ht="36" hidden="0" customHeight="1">
      <x:c r="A131" s="119" t="str">
        <x:v>P0</x:v>
      </x:c>
      <x:c r="B131" s="119" t="str">
        <x:v>RN-M19-02</x:v>
      </x:c>
      <x:c r="C131" s="119" t="str">
        <x:v>TERAPIA NUTRICIONAL ENTERAL (TNE)</x:v>
      </x:c>
      <x:c r="D131" s="119" t="str">
        <x:v>Aporte efetivo alimenta comparativos, necessidades, evolução e indicadores sem recálculo divergente.</x:v>
      </x:c>
      <x:c r="E131" s="119" t="str">
        <x:v>Não identificado</x:v>
      </x:c>
      <x:c r="F131" s="119" t="str">
        <x:v>Não foi identificada evidência suficiente para este requisito. Faltam prescrição enteral completa, vias/métodos, evolução administrada, tolerância, intercorrências, alertas e assinatura.</x:v>
      </x:c>
      <x:c r="G131" s="119" t="str">
        <x:v>src/nutri_app/services/advanced_clinical.py; src/nutri_app/ui/pages/advanced_module_page.py</x:v>
      </x:c>
      <x:c r="H131" s="119" t="str">
        <x:v>Média</x:v>
      </x:c>
      <x:c r="I131" s="1"/>
      <x:c r="J131" s="1"/>
      <x:c r="K131" s="1"/>
    </x:row>
    <x:row r="132" ht="24" hidden="0" customHeight="1">
      <x:c r="A132" s="119" t="str">
        <x:v>P0</x:v>
      </x:c>
      <x:c r="B132" s="119" t="str">
        <x:v>RN-M20-01</x:v>
      </x:c>
      <x:c r="C132" s="119" t="str">
        <x:v>TERAPIA NUTRICIONAL PARENTERAL (TNP)</x:v>
      </x:c>
      <x:c r="D132" s="119" t="str">
        <x:v>Cálculos críticos devem exibir memória, fonte e regra; bloqueios clínicos só podem usar protocolo aprovado.</x:v>
      </x:c>
      <x:c r="E132" s="119" t="str">
        <x:v>Parcial</x:v>
      </x:c>
      <x:c r="F132" s="119" t="str">
        <x:v>Falta fluxo específico de nutrição parenteral, composição, taxa de glicose, osmolaridade, incompatibilidades, monitoramento e dupla checagem.</x:v>
      </x:c>
      <x:c r="G132" s="119" t="str">
        <x:v>src/nutri_app/services/advanced_clinical.py; database/migrations/0019_advanced_clinical_modules.sql</x:v>
      </x:c>
      <x:c r="H132" s="119" t="str">
        <x:v>Média</x:v>
      </x:c>
      <x:c r="I132" s="1"/>
      <x:c r="J132" s="1"/>
      <x:c r="K132" s="1"/>
    </x:row>
    <x:row r="133" ht="24" hidden="0" customHeight="1">
      <x:c r="A133" s="119" t="str">
        <x:v>P0</x:v>
      </x:c>
      <x:c r="B133" s="119" t="str">
        <x:v>RN-M20-02</x:v>
      </x:c>
      <x:c r="C133" s="119" t="str">
        <x:v>TERAPIA NUTRICIONAL PARENTERAL (TNP)</x:v>
      </x:c>
      <x:c r="D133" s="119" t="str">
        <x:v>Prescrição final depende de revisão profissional e, quando exigido, dupla checagem institucional.</x:v>
      </x:c>
      <x:c r="E133" s="119" t="str">
        <x:v>Parcial</x:v>
      </x:c>
      <x:c r="F133" s="119" t="str">
        <x:v>Falta fluxo específico de nutrição parenteral, composição, taxa de glicose, osmolaridade, incompatibilidades, monitoramento e dupla checagem.</x:v>
      </x:c>
      <x:c r="G133" s="119" t="str">
        <x:v>src/nutri_app/services/advanced_clinical.py; database/migrations/0019_advanced_clinical_modules.sql</x:v>
      </x:c>
      <x:c r="H133" s="119" t="str">
        <x:v>Média</x:v>
      </x:c>
      <x:c r="I133" s="1"/>
      <x:c r="J133" s="1"/>
      <x:c r="K133" s="1"/>
    </x:row>
    <x:row r="134" ht="36" hidden="0" customHeight="1">
      <x:c r="A134" s="119" t="str">
        <x:v>P0</x:v>
      </x:c>
      <x:c r="B134" s="119" t="str">
        <x:v>RN-M21-02</x:v>
      </x:c>
      <x:c r="C134" s="119" t="str">
        <x:v>AVALIAÇÃO DE RISCO NUTRICIONAL</x:v>
      </x:c>
      <x:c r="D134" s="119" t="str">
        <x:v>Protocolos só podem ser usados clinicamente após fonte, versão e validação aprovadas.</x:v>
      </x:c>
      <x:c r="E134" s="119" t="str">
        <x:v>Parcial</x:v>
      </x:c>
      <x:c r="F134" s="119" t="str">
        <x:v>Faltam STAMP, seleção automática/justificada por população, prazos/reavaliação completos, assinatura e protocolo publicado imutável.</x:v>
      </x:c>
      <x:c r="G134" s="119" t="str">
        <x:v>src/nutri_app/ui/pages/screening_page.py; src/nutri_app/services/screening.py; src/nutri_app/services/clinical_validation.py; tests/test_screening.py</x:v>
      </x:c>
      <x:c r="H134" s="119" t="str">
        <x:v>Média</x:v>
      </x:c>
      <x:c r="I134" s="1"/>
      <x:c r="J134" s="1"/>
      <x:c r="K134" s="1"/>
    </x:row>
    <x:row r="135" ht="24" hidden="0" customHeight="1">
      <x:c r="A135" s="119" t="str">
        <x:v>P0</x:v>
      </x:c>
      <x:c r="B135" s="119" t="str">
        <x:v>RN-M22-01</x:v>
      </x:c>
      <x:c r="C135" s="119" t="str">
        <x:v>EVOLUÇÃO NUTRICIONAL</x:v>
      </x:c>
      <x:c r="D135" s="119" t="str">
        <x:v>Evolução assinada não pode ser sobrescrita; correções devem ocorrer por adendo auditado.</x:v>
      </x:c>
      <x:c r="E135" s="119" t="str">
        <x:v>Não identificado</x:v>
      </x:c>
      <x:c r="F135" s="119" t="str">
        <x:v>Não foi identificada evidência suficiente para este requisito. Não há evolução SOAPI/narrativa como registro clínico versionado, assinado, com adendo e próxima reavaliação.</x:v>
      </x:c>
      <x:c r="G135" s="119" t="str">
        <x:v>src/nutri_app/services/report.py; src/nutri_app/repositories/dashboard_repository.py; database/schema.sql</x:v>
      </x:c>
      <x:c r="H135" s="119" t="str">
        <x:v>Média</x:v>
      </x:c>
      <x:c r="I135" s="1"/>
      <x:c r="J135" s="1"/>
      <x:c r="K135" s="1"/>
    </x:row>
    <x:row r="136" ht="24" hidden="0" customHeight="1">
      <x:c r="A136" s="119" t="str">
        <x:v>P0</x:v>
      </x:c>
      <x:c r="B136" s="119" t="str">
        <x:v>RN-M22-02</x:v>
      </x:c>
      <x:c r="C136" s="119" t="str">
        <x:v>EVOLUÇÃO NUTRICIONAL</x:v>
      </x:c>
      <x:c r="D136" s="119" t="str">
        <x:v>Dados vinculados permanecem identificados pela data e avaliação de origem.</x:v>
      </x:c>
      <x:c r="E136" s="119" t="str">
        <x:v>Parcial</x:v>
      </x:c>
      <x:c r="F136" s="119" t="str">
        <x:v>Não há evolução SOAPI/narrativa como registro clínico versionado, assinado, com adendo e próxima reavaliação.</x:v>
      </x:c>
      <x:c r="G136" s="119" t="str">
        <x:v>src/nutri_app/services/report.py; src/nutri_app/repositories/dashboard_repository.py; database/schema.sql</x:v>
      </x:c>
      <x:c r="H136" s="119" t="str">
        <x:v>Média</x:v>
      </x:c>
      <x:c r="I136" s="1"/>
      <x:c r="J136" s="1"/>
      <x:c r="K136" s="1"/>
    </x:row>
    <x:row r="137" ht="48" hidden="0" customHeight="1">
      <x:c r="A137" s="119" t="str">
        <x:v>P0</x:v>
      </x:c>
      <x:c r="B137" s="119" t="str">
        <x:v>RN-M26-01</x:v>
      </x:c>
      <x:c r="C137" s="119" t="str">
        <x:v>PROTOCOLOS</x:v>
      </x:c>
      <x:c r="D137" s="119" t="str">
        <x:v>Versão publicada não pode ser alterada; correção gera nova versão com vigência.</x:v>
      </x:c>
      <x:c r="E137" s="119" t="str">
        <x:v>Parcial</x:v>
      </x:c>
      <x:c r="F137" s="119" t="str">
        <x:v>Falta cadastro dinâmico integral dos protocolos, parâmetros/fórmulas/casos de referência, comparação de versões e publicação imutável aos módulos.</x:v>
      </x:c>
      <x:c r="G137" s="119" t="str">
        <x:v>src/nutri_app/ui/pages/clinical_governance_page.py; src/nutri_app/repositories/clinical_governance_repository.py; database/migrations/0021_security_governance.sql; src/nutri_app/services/release.py</x:v>
      </x:c>
      <x:c r="H137" s="119" t="str">
        <x:v>Média</x:v>
      </x:c>
      <x:c r="I137" s="1"/>
      <x:c r="J137" s="1"/>
      <x:c r="K137" s="1"/>
    </x:row>
    <x:row r="138" ht="24" hidden="0" customHeight="1">
      <x:c r="A138" s="119" t="str">
        <x:v>P0</x:v>
      </x:c>
      <x:c r="B138" s="119" t="str">
        <x:v>RN-M28-01</x:v>
      </x:c>
      <x:c r="C138" s="119" t="str">
        <x:v>CONFIGURAÇÕES</x:v>
      </x:c>
      <x:c r="D138" s="119" t="str">
        <x:v>Configurações sensíveis exigem permissão administrativa e confirmação reforçada.</x:v>
      </x:c>
      <x:c r="E138" s="119" t="str">
        <x:v>Parcial</x:v>
      </x:c>
      <x:c r="F138" s="119" t="str">
        <x:v>Faltam configuração institucional completa, temas/modelos, canais reais, painel de serviços e confirmação reforçada uniforme.</x:v>
      </x:c>
      <x:c r="G138" s="119" t="str">
        <x:v>src/nutri_app/ui/pages/settings_page.py; src/nutri_app/services/backup.py; src/nutri_app/services/automatic_backup.py; tests/test_backup_security.py</x:v>
      </x:c>
      <x:c r="H138" s="119" t="str">
        <x:v>Média</x:v>
      </x:c>
      <x:c r="I138" s="1"/>
      <x:c r="J138" s="1"/>
      <x:c r="K138" s="1"/>
    </x:row>
    <x:row r="139" ht="36" hidden="0" customHeight="1">
      <x:c r="A139" s="119" t="str">
        <x:v>P0</x:v>
      </x:c>
      <x:c r="B139" s="119" t="str">
        <x:v>RN-M29-01</x:v>
      </x:c>
      <x:c r="C139" s="119" t="str">
        <x:v>USUÁRIOS E PERMISSÕES</x:v>
      </x:c>
      <x:c r="D139" s="119" t="str">
        <x:v>O menu deve ocultar módulos sem permissão e a API deve repetir a mesma autorização.</x:v>
      </x:c>
      <x:c r="E139" s="119" t="str">
        <x:v>Parcial</x:v>
      </x:c>
      <x:c r="F139" s="119" t="str">
        <x:v>Faltam perfis/escopos configuráveis completos, recuperação, 2FA, expiração/revogação de sessão, dispositivos e exportação filtrada de auditoria.</x:v>
      </x:c>
      <x:c r="G139" s="119" t="str">
        <x:v>src/nutri_app/services/auth.py; src/nutri_app/services/security.py; src/nutri_app/repositories/user_repository.py; src/nutri_app/repositories/audit_repository.py; tests/test_auth.py</x:v>
      </x:c>
      <x:c r="H139" s="119" t="str">
        <x:v>Média</x:v>
      </x:c>
      <x:c r="I139" s="1"/>
      <x:c r="J139" s="1"/>
      <x:c r="K139" s="1"/>
    </x:row>
    <x:row r="140" ht="48" hidden="0" customHeight="1">
      <x:c r="A140" s="119" t="str">
        <x:v>P0</x:v>
      </x:c>
      <x:c r="B140" s="119" t="str">
        <x:v>RN-M33-02</x:v>
      </x:c>
      <x:c r="C140" s="119" t="str">
        <x:v>PORTAL DO PACIENTE</x:v>
      </x:c>
      <x:c r="D140" s="119" t="str">
        <x:v>Sessões, dispositivos, consentimentos e revogações devem ser gerenciáveis e auditáveis.</x:v>
      </x:c>
      <x:c r="E140" s="119" t="str">
        <x:v>Parcial</x:v>
      </x:c>
      <x:c r="F140" s="119" t="str">
        <x:v>Faltam senha/recuperação/termos robustos, expiração e revogação de sessões, agenda/documentos completos, uploads, mensagens, notificações e dispositivos.</x:v>
      </x:c>
      <x:c r="G140" s="119" t="str">
        <x:v>src/nutri_app/services/patient_portal_server.py; src/nutri_app/ui/resources/patient_portal.html; tests/test_patient_portal_server.py; src/nutri_app/ui/pages/patient_app_page.py</x:v>
      </x:c>
      <x:c r="H140" s="119" t="str">
        <x:v>Média</x:v>
      </x:c>
      <x:c r="I140" s="1"/>
      <x:c r="J140" s="1"/>
      <x:c r="K140" s="1"/>
    </x:row>
    <x:row r="141" ht="48" hidden="0" customHeight="1">
      <x:c r="A141" s="119" t="str">
        <x:v>P0</x:v>
      </x:c>
      <x:c r="B141" s="119" t="str">
        <x:v>RN-M34-01</x:v>
      </x:c>
      <x:c r="C141" s="119" t="str">
        <x:v>ADMINISTRAÇÃO</x:v>
      </x:c>
      <x:c r="D141" s="119" t="str">
        <x:v>A administração não pode alterar dados clínicos sem fluxo autorizado e rastreável.</x:v>
      </x:c>
      <x:c r="E141" s="119" t="str">
        <x:v>Parcial</x:v>
      </x:c>
      <x:c r="F141" s="119" t="str">
        <x:v>Falta painel administrativo unificado, monitoramento de banco/filas/falhas, fluxos de aprovação e exportação administrativa/auditoria completa.</x:v>
      </x:c>
      <x:c r="G141" s="119" t="str">
        <x:v>src/nutri_app/ui/pages/users_page.py; src/nutri_app/ui/pages/settings_page.py; src/nutri_app/ui/pages/deployment_page.py; src/nutri_app/ui/pages/clinical_governance_page.py</x:v>
      </x:c>
      <x:c r="H141" s="119" t="str">
        <x:v>Média</x:v>
      </x:c>
      <x:c r="I141" s="1"/>
      <x:c r="J141" s="1"/>
      <x:c r="K141" s="1"/>
    </x:row>
    <x:row r="142" ht="48" hidden="0" customHeight="1">
      <x:c r="A142" s="119" t="str">
        <x:v>P0</x:v>
      </x:c>
      <x:c r="B142" s="119" t="str">
        <x:v>RN-M34-02</x:v>
      </x:c>
      <x:c r="C142" s="119" t="str">
        <x:v>ADMINISTRAÇÃO</x:v>
      </x:c>
      <x:c r="D142" s="119" t="str">
        <x:v>Ações destrutivas ou de restauração exigem confirmação reforçada, backup e registro completo.</x:v>
      </x:c>
      <x:c r="E142" s="119" t="str">
        <x:v>Parcial</x:v>
      </x:c>
      <x:c r="F142" s="119" t="str">
        <x:v>Falta painel administrativo unificado, monitoramento de banco/filas/falhas, fluxos de aprovação e exportação administrativa/auditoria completa.</x:v>
      </x:c>
      <x:c r="G142" s="119" t="str">
        <x:v>src/nutri_app/ui/pages/users_page.py; src/nutri_app/ui/pages/settings_page.py; src/nutri_app/ui/pages/deployment_page.py; src/nutri_app/ui/pages/clinical_governance_page.py</x:v>
      </x:c>
      <x:c r="H142" s="119" t="str">
        <x:v>Média</x:v>
      </x:c>
      <x:c r="I142" s="1"/>
      <x:c r="J142" s="1"/>
      <x:c r="K142" s="1"/>
    </x:row>
    <x:row r="143" ht="24" hidden="0" customHeight="1">
      <x:c r="A143" s="119" t="str">
        <x:v>P0</x:v>
      </x:c>
      <x:c r="B143" s="119" t="str">
        <x:v>RNF-01</x:v>
      </x:c>
      <x:c r="C143" s="119" t="str">
        <x:v>Requisitos não funcionais</x:v>
      </x:c>
      <x:c r="D143" s="119" t="str">
        <x:v>Segurança: autenticação forte, autorização em profundidade, criptografia, gestão de segredos e revisão de dependências.</x:v>
      </x:c>
      <x:c r="E143" s="119" t="str">
        <x:v>Parcial</x:v>
      </x:c>
      <x:c r="F143" s="119" t="str">
        <x:v>Requisito de qualidade ainda não está demonstrado de ponta a ponta em ambiente de produção.</x:v>
      </x:c>
      <x:c r="G143" s="119" t="str">
        <x:v>README.md; .github/workflows/quality.yml; src/nutri_app/services; tests</x:v>
      </x:c>
      <x:c r="H143" s="119" t="str">
        <x:v>Média</x:v>
      </x:c>
      <x:c r="I143" s="1"/>
      <x:c r="J143" s="1"/>
      <x:c r="K143" s="1"/>
    </x:row>
    <x:row r="144" ht="24" hidden="0" customHeight="1">
      <x:c r="A144" s="119" t="str">
        <x:v>P0</x:v>
      </x:c>
      <x:c r="B144" s="119" t="str">
        <x:v>RNF-02</x:v>
      </x:c>
      <x:c r="C144" s="119" t="str">
        <x:v>Requisitos não funcionais</x:v>
      </x:c>
      <x:c r="D144" s="119" t="str">
        <x:v>Privacidade: privacidade por padrão, minimização, consentimento/finalidade, retenção e trilha de solicitações.</x:v>
      </x:c>
      <x:c r="E144" s="119" t="str">
        <x:v>Parcial</x:v>
      </x:c>
      <x:c r="F144" s="119" t="str">
        <x:v>Requisito de qualidade ainda não está demonstrado de ponta a ponta em ambiente de produção.</x:v>
      </x:c>
      <x:c r="G144" s="119" t="str">
        <x:v>README.md; .github/workflows/quality.yml; src/nutri_app/services; tests</x:v>
      </x:c>
      <x:c r="H144" s="119" t="str">
        <x:v>Média</x:v>
      </x:c>
      <x:c r="I144" s="1"/>
      <x:c r="J144" s="1"/>
      <x:c r="K144" s="1"/>
    </x:row>
    <x:row r="145" ht="24" hidden="0" customHeight="1">
      <x:c r="A145" s="119" t="str">
        <x:v>P0</x:v>
      </x:c>
      <x:c r="B145" s="119" t="str">
        <x:v>RNF-03</x:v>
      </x:c>
      <x:c r="C145" s="119" t="str">
        <x:v>Requisitos não funcionais</x:v>
      </x:c>
      <x:c r="D145" s="119" t="str">
        <x:v>Desempenho: telas principais devem permanecer responsivas com paginação, filtros e processamento assíncrono quando necessário.</x:v>
      </x:c>
      <x:c r="E145" s="119" t="str">
        <x:v>Parcial</x:v>
      </x:c>
      <x:c r="F145" s="119" t="str">
        <x:v>Requisito de qualidade ainda não está demonstrado de ponta a ponta em ambiente de produção.</x:v>
      </x:c>
      <x:c r="G145" s="119" t="str">
        <x:v>README.md; .github/workflows/quality.yml; src/nutri_app/services; tests</x:v>
      </x:c>
      <x:c r="H145" s="119" t="str">
        <x:v>Média</x:v>
      </x:c>
      <x:c r="I145" s="1"/>
      <x:c r="J145" s="1"/>
      <x:c r="K145" s="1"/>
    </x:row>
    <x:row r="146" ht="24" hidden="0" customHeight="1">
      <x:c r="A146" s="119" t="str">
        <x:v>P0</x:v>
      </x:c>
      <x:c r="B146" s="119" t="str">
        <x:v>RNF-04</x:v>
      </x:c>
      <x:c r="C146" s="119" t="str">
        <x:v>Requisitos não funcionais</x:v>
      </x:c>
      <x:c r="D146" s="119" t="str">
        <x:v>Disponibilidade: falhas de integração não devem impedir registro clínico local; operações pendentes precisam de reprocessamento seguro.</x:v>
      </x:c>
      <x:c r="E146" s="119" t="str">
        <x:v>Parcial</x:v>
      </x:c>
      <x:c r="F146" s="119" t="str">
        <x:v>Requisito de qualidade ainda não está demonstrado de ponta a ponta em ambiente de produção.</x:v>
      </x:c>
      <x:c r="G146" s="119" t="str">
        <x:v>README.md; .github/workflows/quality.yml; src/nutri_app/services; tests</x:v>
      </x:c>
      <x:c r="H146" s="119" t="str">
        <x:v>Média</x:v>
      </x:c>
      <x:c r="I146" s="1"/>
      <x:c r="J146" s="1"/>
      <x:c r="K146" s="1"/>
    </x:row>
    <x:row r="147" ht="24" hidden="0" customHeight="1">
      <x:c r="A147" s="119" t="str">
        <x:v>P0</x:v>
      </x:c>
      <x:c r="B147" s="119" t="str">
        <x:v>RNF-05</x:v>
      </x:c>
      <x:c r="C147" s="119" t="str">
        <x:v>Requisitos não funcionais</x:v>
      </x:c>
      <x:c r="D147" s="119" t="str">
        <x:v>Confiabilidade: transações consistentes, integridade referencial, backup testado e recuperação documentada.</x:v>
      </x:c>
      <x:c r="E147" s="119" t="str">
        <x:v>Parcial</x:v>
      </x:c>
      <x:c r="F147" s="119" t="str">
        <x:v>Requisito de qualidade ainda não está demonstrado de ponta a ponta em ambiente de produção.</x:v>
      </x:c>
      <x:c r="G147" s="119" t="str">
        <x:v>README.md; .github/workflows/quality.yml; src/nutri_app/services; tests</x:v>
      </x:c>
      <x:c r="H147" s="119" t="str">
        <x:v>Média</x:v>
      </x:c>
      <x:c r="I147" s="1"/>
      <x:c r="J147" s="1"/>
      <x:c r="K147" s="1"/>
    </x:row>
    <x:row r="148" ht="24" hidden="0" customHeight="1">
      <x:c r="A148" s="119" t="str">
        <x:v>P0</x:v>
      </x:c>
      <x:c r="B148" s="119" t="str">
        <x:v>RNF-06</x:v>
      </x:c>
      <x:c r="C148" s="119" t="str">
        <x:v>Requisitos não funcionais</x:v>
      </x:c>
      <x:c r="D148" s="119" t="str">
        <x:v>Usabilidade: fluxo coerente, linguagem clínica clara, prevenção de erros e confirmação proporcional ao risco.</x:v>
      </x:c>
      <x:c r="E148" s="119" t="str">
        <x:v>Parcial</x:v>
      </x:c>
      <x:c r="F148" s="119" t="str">
        <x:v>Requisito de qualidade ainda não está demonstrado de ponta a ponta em ambiente de produção.</x:v>
      </x:c>
      <x:c r="G148" s="119" t="str">
        <x:v>README.md; .github/workflows/quality.yml; src/nutri_app/services; tests</x:v>
      </x:c>
      <x:c r="H148" s="119" t="str">
        <x:v>Média</x:v>
      </x:c>
      <x:c r="I148" s="1"/>
      <x:c r="J148" s="1"/>
      <x:c r="K148" s="1"/>
    </x:row>
    <x:row r="149" ht="24" hidden="0" customHeight="1">
      <x:c r="A149" s="119" t="str">
        <x:v>P0</x:v>
      </x:c>
      <x:c r="B149" s="119" t="str">
        <x:v>RNF-07</x:v>
      </x:c>
      <x:c r="C149" s="119" t="str">
        <x:v>Requisitos não funcionais</x:v>
      </x:c>
      <x:c r="D149" s="119" t="str">
        <x:v>Acessibilidade: navegação por teclado, contraste, rótulos, foco visível, texto escalável e significado não dependente apenas de cor.</x:v>
      </x:c>
      <x:c r="E149" s="119" t="str">
        <x:v>Não identificado</x:v>
      </x:c>
      <x:c r="F149" s="119" t="str">
        <x:v>Requisito de qualidade ainda não está demonstrado de ponta a ponta em ambiente de produção.</x:v>
      </x:c>
      <x:c r="G149" s="119" t="str">
        <x:v>README.md; .github/workflows/quality.yml; src/nutri_app/services; tests</x:v>
      </x:c>
      <x:c r="H149" s="119" t="str">
        <x:v>Média</x:v>
      </x:c>
      <x:c r="I149" s="1"/>
      <x:c r="J149" s="1"/>
      <x:c r="K149" s="1"/>
    </x:row>
    <x:row r="150" ht="24" hidden="0" customHeight="1">
      <x:c r="A150" s="119" t="str">
        <x:v>P0</x:v>
      </x:c>
      <x:c r="B150" s="119" t="str">
        <x:v>RNF-08</x:v>
      </x:c>
      <x:c r="C150" s="119" t="str">
        <x:v>Requisitos não funcionais</x:v>
      </x:c>
      <x:c r="D150" s="119" t="str">
        <x:v>Auditabilidade: origem do dado, autoria, data, versão e transformação devem ser consultáveis por usuários autorizados.</x:v>
      </x:c>
      <x:c r="E150" s="119" t="str">
        <x:v>Parcial</x:v>
      </x:c>
      <x:c r="F150" s="119" t="str">
        <x:v>Requisito de qualidade ainda não está demonstrado de ponta a ponta em ambiente de produção.</x:v>
      </x:c>
      <x:c r="G150" s="119" t="str">
        <x:v>README.md; .github/workflows/quality.yml; src/nutri_app/services; tests</x:v>
      </x:c>
      <x:c r="H150" s="119" t="str">
        <x:v>Média</x:v>
      </x:c>
      <x:c r="I150" s="1"/>
      <x:c r="J150" s="1"/>
      <x:c r="K150" s="1"/>
    </x:row>
    <x:row r="151" ht="24" hidden="0" customHeight="1">
      <x:c r="A151" s="119" t="str">
        <x:v>P0</x:v>
      </x:c>
      <x:c r="B151" s="119" t="str">
        <x:v>RNF-10</x:v>
      </x:c>
      <x:c r="C151" s="119" t="str">
        <x:v>Requisitos não funcionais</x:v>
      </x:c>
      <x:c r="D151" s="119" t="str">
        <x:v>Portabilidade: instalação e atualização reproduzíveis; exportações em formatos abertos quando aplicáveis.</x:v>
      </x:c>
      <x:c r="E151" s="119" t="str">
        <x:v>Parcial</x:v>
      </x:c>
      <x:c r="F151" s="119" t="str">
        <x:v>Requisito de qualidade ainda não está demonstrado de ponta a ponta em ambiente de produção.</x:v>
      </x:c>
      <x:c r="G151" s="119" t="str">
        <x:v>README.md; .github/workflows/quality.yml; src/nutri_app/services; tests</x:v>
      </x:c>
      <x:c r="H151" s="119" t="str">
        <x:v>Média</x:v>
      </x:c>
      <x:c r="I151" s="1"/>
      <x:c r="J151" s="1"/>
      <x:c r="K151" s="1"/>
    </x:row>
    <x:row r="152" ht="24" hidden="0" customHeight="1">
      <x:c r="A152" s="119" t="str">
        <x:v>P0</x:v>
      </x:c>
      <x:c r="B152" s="119" t="str">
        <x:v>RNF-11</x:v>
      </x:c>
      <x:c r="C152" s="119" t="str">
        <x:v>Requisitos não funcionais</x:v>
      </x:c>
      <x:c r="D152" s="119" t="str">
        <x:v>Interoperabilidade: APIs versionadas, esquemas documentados, validação de entrada e conectores homologados.</x:v>
      </x:c>
      <x:c r="E152" s="119" t="str">
        <x:v>Parcial</x:v>
      </x:c>
      <x:c r="F152" s="119" t="str">
        <x:v>Requisito de qualidade ainda não está demonstrado de ponta a ponta em ambiente de produção.</x:v>
      </x:c>
      <x:c r="G152" s="119" t="str">
        <x:v>README.md; .github/workflows/quality.yml; src/nutri_app/services; tests</x:v>
      </x:c>
      <x:c r="H152" s="119" t="str">
        <x:v>Média</x:v>
      </x:c>
      <x:c r="I152" s="1"/>
      <x:c r="J152" s="1"/>
      <x:c r="K152" s="1"/>
    </x:row>
    <x:row r="153" ht="24" hidden="0" customHeight="1">
      <x:c r="A153" s="119" t="str">
        <x:v>P0</x:v>
      </x:c>
      <x:c r="B153" s="119" t="str">
        <x:v>RNF-12</x:v>
      </x:c>
      <x:c r="C153" s="119" t="str">
        <x:v>Requisitos não funcionais</x:v>
      </x:c>
      <x:c r="D153" s="119" t="str">
        <x:v>Observabilidade: logs técnicos sem dados sensíveis desnecessários, métricas, status de integrações e alertas operacionais.</x:v>
      </x:c>
      <x:c r="E153" s="119" t="str">
        <x:v>Parcial</x:v>
      </x:c>
      <x:c r="F153" s="119" t="str">
        <x:v>Requisito de qualidade ainda não está demonstrado de ponta a ponta em ambiente de produção.</x:v>
      </x:c>
      <x:c r="G153" s="119" t="str">
        <x:v>README.md; .github/workflows/quality.yml; src/nutri_app/services; tests</x:v>
      </x:c>
      <x:c r="H153" s="119" t="str">
        <x:v>Média</x:v>
      </x:c>
      <x:c r="I153" s="1"/>
      <x:c r="J153" s="1"/>
      <x:c r="K153" s="1"/>
    </x:row>
    <x:row r="154" ht="24" hidden="0" customHeight="1">
      <x:c r="A154" s="119" t="str">
        <x:v>P0</x:v>
      </x:c>
      <x:c r="B154" s="119" t="str">
        <x:v>RT-01</x:v>
      </x:c>
      <x:c r="C154" s="119" t="str">
        <x:v>Regras transversais</x:v>
      </x:c>
      <x:c r="D154" s="119" t="str">
        <x:v>Paciente, episódio, avaliação e profissional são chaves de contexto; registros órfãos não são permitidos.</x:v>
      </x:c>
      <x:c r="E154" s="119" t="str">
        <x:v>Parcial</x:v>
      </x:c>
      <x:c r="F154" s="119" t="str">
        <x:v>Exige consolidação transversal, versionamento e auditoria uniforme em todos os módulos.</x:v>
      </x:c>
      <x:c r="G154" s="119" t="str">
        <x:v>database/schema.sql; src/nutri_app/repositories; src/nutri_app/services</x:v>
      </x:c>
      <x:c r="H154" s="119" t="str">
        <x:v>Média</x:v>
      </x:c>
      <x:c r="I154" s="1"/>
      <x:c r="J154" s="1"/>
      <x:c r="K154" s="1"/>
    </x:row>
    <x:row r="155" ht="24" hidden="0" customHeight="1">
      <x:c r="A155" s="119" t="str">
        <x:v>P0</x:v>
      </x:c>
      <x:c r="B155" s="119" t="str">
        <x:v>RT-02</x:v>
      </x:c>
      <x:c r="C155" s="119" t="str">
        <x:v>Regras transversais</x:v>
      </x:c>
      <x:c r="D155" s="119" t="str">
        <x:v>Dados originais e registros assinados são imutáveis; correções criam versões, adendos ou eventos de estorno.</x:v>
      </x:c>
      <x:c r="E155" s="119" t="str">
        <x:v>Parcial</x:v>
      </x:c>
      <x:c r="F155" s="119" t="str">
        <x:v>Exige consolidação transversal, versionamento e auditoria uniforme em todos os módulos.</x:v>
      </x:c>
      <x:c r="G155" s="119" t="str">
        <x:v>database/schema.sql; src/nutri_app/repositories; src/nutri_app/services</x:v>
      </x:c>
      <x:c r="H155" s="119" t="str">
        <x:v>Média</x:v>
      </x:c>
      <x:c r="I155" s="1"/>
      <x:c r="J155" s="1"/>
      <x:c r="K155" s="1"/>
    </x:row>
    <x:row r="156" ht="15" hidden="0" customHeight="1">
      <x:c r="A156" s="119" t="str">
        <x:v>P0</x:v>
      </x:c>
      <x:c r="B156" s="119" t="str">
        <x:v>RT-04</x:v>
      </x:c>
      <x:c r="C156" s="119" t="str">
        <x:v>Regras transversais</x:v>
      </x:c>
      <x:c r="D156" s="119" t="str">
        <x:v>Valores ausentes, não avaliados, não aplicáveis e zero são estados semanticamente diferentes.</x:v>
      </x:c>
      <x:c r="E156" s="119" t="str">
        <x:v>Parcial</x:v>
      </x:c>
      <x:c r="F156" s="119" t="str">
        <x:v>Exige consolidação transversal, versionamento e auditoria uniforme em todos os módulos.</x:v>
      </x:c>
      <x:c r="G156" s="119" t="str">
        <x:v>database/schema.sql; src/nutri_app/repositories; src/nutri_app/services</x:v>
      </x:c>
      <x:c r="H156" s="119" t="str">
        <x:v>Média</x:v>
      </x:c>
      <x:c r="I156" s="1"/>
      <x:c r="J156" s="1"/>
      <x:c r="K156" s="1"/>
    </x:row>
    <x:row r="157" ht="24" hidden="0" customHeight="1">
      <x:c r="A157" s="119" t="str">
        <x:v>P0</x:v>
      </x:c>
      <x:c r="B157" s="119" t="str">
        <x:v>RT-05</x:v>
      </x:c>
      <x:c r="C157" s="119" t="str">
        <x:v>Regras transversais</x:v>
      </x:c>
      <x:c r="D157" s="119" t="str">
        <x:v>Toda fórmula clínica registra entradas, unidades, versão, fonte, resultado, arredondamento e responsável.</x:v>
      </x:c>
      <x:c r="E157" s="119" t="str">
        <x:v>Parcial</x:v>
      </x:c>
      <x:c r="F157" s="119" t="str">
        <x:v>Exige consolidação transversal, versionamento e auditoria uniforme em todos os módulos.</x:v>
      </x:c>
      <x:c r="G157" s="119" t="str">
        <x:v>database/schema.sql; src/nutri_app/repositories; src/nutri_app/services</x:v>
      </x:c>
      <x:c r="H157" s="119" t="str">
        <x:v>Média</x:v>
      </x:c>
      <x:c r="I157" s="1"/>
      <x:c r="J157" s="1"/>
      <x:c r="K157" s="1"/>
    </x:row>
    <x:row r="158" ht="15" hidden="0" customHeight="1">
      <x:c r="A158" s="119" t="str">
        <x:v>P0</x:v>
      </x:c>
      <x:c r="B158" s="119" t="str">
        <x:v>RT-07</x:v>
      </x:c>
      <x:c r="C158" s="119" t="str">
        <x:v>Regras transversais</x:v>
      </x:c>
      <x:c r="D158" s="119" t="str">
        <x:v>Dados reutilizados são vinculados à origem e à data; não são copiados para campos paralelos.</x:v>
      </x:c>
      <x:c r="E158" s="119" t="str">
        <x:v>Parcial</x:v>
      </x:c>
      <x:c r="F158" s="119" t="str">
        <x:v>Exige consolidação transversal, versionamento e auditoria uniforme em todos os módulos.</x:v>
      </x:c>
      <x:c r="G158" s="119" t="str">
        <x:v>database/schema.sql; src/nutri_app/repositories; src/nutri_app/services</x:v>
      </x:c>
      <x:c r="H158" s="119" t="str">
        <x:v>Média</x:v>
      </x:c>
      <x:c r="I158" s="1"/>
      <x:c r="J158" s="1"/>
      <x:c r="K158" s="1"/>
    </x:row>
    <x:row r="159" ht="24" hidden="0" customHeight="1">
      <x:c r="A159" s="119" t="str">
        <x:v>P0</x:v>
      </x:c>
      <x:c r="B159" s="119" t="str">
        <x:v>RT-08</x:v>
      </x:c>
      <x:c r="C159" s="119" t="str">
        <x:v>Regras transversais</x:v>
      </x:c>
      <x:c r="D159" s="119" t="str">
        <x:v>Importações preservam payload, origem, identificador, data, versão do esquema e resultado do processamento.</x:v>
      </x:c>
      <x:c r="E159" s="119" t="str">
        <x:v>Parcial</x:v>
      </x:c>
      <x:c r="F159" s="119" t="str">
        <x:v>Exige consolidação transversal, versionamento e auditoria uniforme em todos os módulos.</x:v>
      </x:c>
      <x:c r="G159" s="119" t="str">
        <x:v>database/schema.sql; src/nutri_app/repositories; src/nutri_app/services</x:v>
      </x:c>
      <x:c r="H159" s="119" t="str">
        <x:v>Média</x:v>
      </x:c>
      <x:c r="I159" s="1"/>
      <x:c r="J159" s="1"/>
      <x:c r="K159" s="1"/>
    </x:row>
    <x:row r="160" ht="24" hidden="0" customHeight="1">
      <x:c r="A160" s="119" t="str">
        <x:v>P0</x:v>
      </x:c>
      <x:c r="B160" s="119" t="str">
        <x:v>RT-09</x:v>
      </x:c>
      <x:c r="C160" s="119" t="str">
        <x:v>Regras transversais</x:v>
      </x:c>
      <x:c r="D160" s="119" t="str">
        <x:v>Integrações externas usam segredo fora do código/banco clínico, idempotência, timeout, retries e auditoria.</x:v>
      </x:c>
      <x:c r="E160" s="119" t="str">
        <x:v>Parcial</x:v>
      </x:c>
      <x:c r="F160" s="119" t="str">
        <x:v>Exige consolidação transversal, versionamento e auditoria uniforme em todos os módulos.</x:v>
      </x:c>
      <x:c r="G160" s="119" t="str">
        <x:v>database/schema.sql; src/nutri_app/repositories; src/nutri_app/services</x:v>
      </x:c>
      <x:c r="H160" s="119" t="str">
        <x:v>Média</x:v>
      </x:c>
      <x:c r="I160" s="1"/>
      <x:c r="J160" s="1"/>
      <x:c r="K160" s="1"/>
    </x:row>
    <x:row r="161" ht="15" hidden="0" customHeight="1">
      <x:c r="A161" s="119" t="str">
        <x:v>P0</x:v>
      </x:c>
      <x:c r="B161" s="119" t="str">
        <x:v>RT-10</x:v>
      </x:c>
      <x:c r="C161" s="119" t="str">
        <x:v>Regras transversais</x:v>
      </x:c>
      <x:c r="D161" s="119" t="str">
        <x:v>Documentos e publicações permanecem associados à versão exata dos dados e modelos utilizados.</x:v>
      </x:c>
      <x:c r="E161" s="119" t="str">
        <x:v>Parcial</x:v>
      </x:c>
      <x:c r="F161" s="119" t="str">
        <x:v>Exige consolidação transversal, versionamento e auditoria uniforme em todos os módulos.</x:v>
      </x:c>
      <x:c r="G161" s="119" t="str">
        <x:v>database/schema.sql; src/nutri_app/repositories; src/nutri_app/services</x:v>
      </x:c>
      <x:c r="H161" s="119" t="str">
        <x:v>Média</x:v>
      </x:c>
      <x:c r="I161" s="1"/>
      <x:c r="J161" s="1"/>
      <x:c r="K161" s="1"/>
    </x:row>
    <x:row r="162" ht="15" hidden="0" customHeight="1">
      <x:c r="A162" s="119" t="str">
        <x:v>P0</x:v>
      </x:c>
      <x:c r="B162" s="119" t="str">
        <x:v>RT-11</x:v>
      </x:c>
      <x:c r="C162" s="119" t="str">
        <x:v>Regras transversais</x:v>
      </x:c>
      <x:c r="D162" s="119" t="str">
        <x:v>Mudanças de protocolo não recalculam registros históricos sem ação explícita e auditada.</x:v>
      </x:c>
      <x:c r="E162" s="119" t="str">
        <x:v>Parcial</x:v>
      </x:c>
      <x:c r="F162" s="119" t="str">
        <x:v>Exige consolidação transversal, versionamento e auditoria uniforme em todos os módulos.</x:v>
      </x:c>
      <x:c r="G162" s="119" t="str">
        <x:v>database/schema.sql; src/nutri_app/repositories; src/nutri_app/services</x:v>
      </x:c>
      <x:c r="H162" s="119" t="str">
        <x:v>Média</x:v>
      </x:c>
      <x:c r="I162" s="1"/>
      <x:c r="J162" s="1"/>
      <x:c r="K162" s="1"/>
    </x:row>
    <x:row r="163" ht="24" hidden="0" customHeight="1">
      <x:c r="A163" s="119" t="str">
        <x:v>P0</x:v>
      </x:c>
      <x:c r="B163" s="119" t="str">
        <x:v>RT-12</x:v>
      </x:c>
      <x:c r="C163" s="119" t="str">
        <x:v>Regras transversais</x:v>
      </x:c>
      <x:c r="D163" s="119" t="str">
        <x:v>Exemplos e dados demonstrativos devem ser claramente identificados e isolados dos dados de produção.</x:v>
      </x:c>
      <x:c r="E163" s="119" t="str">
        <x:v>Parcial</x:v>
      </x:c>
      <x:c r="F163" s="119" t="str">
        <x:v>Exige consolidação transversal, versionamento e auditoria uniforme em todos os módulos.</x:v>
      </x:c>
      <x:c r="G163" s="119" t="str">
        <x:v>database/schema.sql; src/nutri_app/repositories; src/nutri_app/services</x:v>
      </x:c>
      <x:c r="H163" s="119" t="str">
        <x:v>Média</x:v>
      </x:c>
      <x:c r="I163" s="1"/>
      <x:c r="J163" s="1"/>
      <x:c r="K163" s="1"/>
    </x:row>
    <x:row r="164" ht="24" hidden="0" customHeight="1">
      <x:c r="A164" s="119" t="str">
        <x:v>P1</x:v>
      </x:c>
      <x:c r="B164" s="119" t="str">
        <x:v>DIR-02</x:v>
      </x:c>
      <x:c r="C164" s="119" t="str">
        <x:v>Arquitetura e interação</x:v>
      </x:c>
      <x:c r="D164" s="119" t="str">
        <x:v>Contexto do paciente: paciente_id, episódio/atendimento e avaliação ativos permanecem disponíveis em todos os módulos autorizados.</x:v>
      </x:c>
      <x:c r="E164" s="119" t="str">
        <x:v>Parcial</x:v>
      </x:c>
      <x:c r="F164" s="119" t="str">
        <x:v>A diretriz está parcialmente coberta e precisa de validação transversal.</x:v>
      </x:c>
      <x:c r="G164" s="119" t="str">
        <x:v>database/schema.sql; src/nutri_app/ui/main_window.py</x:v>
      </x:c>
      <x:c r="H164" s="119" t="str">
        <x:v>Média</x:v>
      </x:c>
      <x:c r="I164" s="1"/>
      <x:c r="J164" s="1"/>
      <x:c r="K164" s="1"/>
    </x:row>
    <x:row r="165" ht="24" hidden="0" customHeight="1">
      <x:c r="A165" s="119" t="str">
        <x:v>P1</x:v>
      </x:c>
      <x:c r="B165" s="119" t="str">
        <x:v>DIR-04</x:v>
      </x:c>
      <x:c r="C165" s="119" t="str">
        <x:v>Arquitetura e interação</x:v>
      </x:c>
      <x:c r="D165" s="119" t="str">
        <x:v>Responsividade: desktop, tablet e portal web devem reorganizar cards, listas e formulários sem ocultar ações essenciais.</x:v>
      </x:c>
      <x:c r="E165" s="119" t="str">
        <x:v>Parcial</x:v>
      </x:c>
      <x:c r="F165" s="119" t="str">
        <x:v>A diretriz está parcialmente coberta e precisa de validação transversal.</x:v>
      </x:c>
      <x:c r="G165" s="119" t="str">
        <x:v>src/nutri_app/ui; src/nutri_app/services/patient_portal_server.py</x:v>
      </x:c>
      <x:c r="H165" s="119" t="str">
        <x:v>Média</x:v>
      </x:c>
      <x:c r="I165" s="1"/>
      <x:c r="J165" s="1"/>
      <x:c r="K165" s="1"/>
    </x:row>
    <x:row r="166" ht="24" hidden="0" customHeight="1">
      <x:c r="A166" s="119" t="str">
        <x:v>P1</x:v>
      </x:c>
      <x:c r="B166" s="119" t="str">
        <x:v>DIR-05</x:v>
      </x:c>
      <x:c r="C166" s="119" t="str">
        <x:v>Arquitetura e interação</x:v>
      </x:c>
      <x:c r="D166" s="119" t="str">
        <x:v>Persistência: autosalvamento de rascunho, confirmação de ações críticas, versionamento e exclusão lógica.</x:v>
      </x:c>
      <x:c r="E166" s="119" t="str">
        <x:v>Parcial</x:v>
      </x:c>
      <x:c r="F166" s="119" t="str">
        <x:v>A diretriz está parcialmente coberta e precisa de validação transversal.</x:v>
      </x:c>
      <x:c r="G166" s="119" t="str">
        <x:v>database/schema.sql; src/nutri_app/repositories/audit_repository.py</x:v>
      </x:c>
      <x:c r="H166" s="119" t="str">
        <x:v>Média</x:v>
      </x:c>
      <x:c r="I166" s="1"/>
      <x:c r="J166" s="1"/>
      <x:c r="K166" s="1"/>
    </x:row>
    <x:row r="167" ht="24" hidden="0" customHeight="1">
      <x:c r="A167" s="119" t="str">
        <x:v>P1</x:v>
      </x:c>
      <x:c r="B167" s="119" t="str">
        <x:v>DIR-06</x:v>
      </x:c>
      <x:c r="C167" s="119" t="str">
        <x:v>Arquitetura e interação</x:v>
      </x:c>
      <x:c r="D167" s="119" t="str">
        <x:v>Interoperabilidade: integrações por API/arquivos devem validar esquema, autenticação, idempotência, repetição controlada e falhas.</x:v>
      </x:c>
      <x:c r="E167" s="119" t="str">
        <x:v>Parcial</x:v>
      </x:c>
      <x:c r="F167" s="119" t="str">
        <x:v>A diretriz está parcialmente coberta e precisa de validação transversal.</x:v>
      </x:c>
      <x:c r="G167" s="119" t="str">
        <x:v>src/nutri_app/services/integration.py; tests/test_integrations.py</x:v>
      </x:c>
      <x:c r="H167" s="119" t="str">
        <x:v>Média</x:v>
      </x:c>
      <x:c r="I167" s="1"/>
      <x:c r="J167" s="1"/>
      <x:c r="K167" s="1"/>
    </x:row>
    <x:row r="168" ht="24" hidden="0" customHeight="1">
      <x:c r="A168" s="119" t="str">
        <x:v>P1</x:v>
      </x:c>
      <x:c r="B168" s="119" t="str">
        <x:v>DIR-07</x:v>
      </x:c>
      <x:c r="C168" s="119" t="str">
        <x:v>Arquitetura e interação</x:v>
      </x:c>
      <x:c r="D168" s="119" t="str">
        <x:v>Governança: fórmulas, faixas, protocolos e conteúdos clínicos são versionados, possuem fonte e exigem aprovação antes da produção.</x:v>
      </x:c>
      <x:c r="E168" s="119" t="str">
        <x:v>Parcial</x:v>
      </x:c>
      <x:c r="F168" s="119" t="str">
        <x:v>A diretriz está parcialmente coberta e precisa de validação transversal.</x:v>
      </x:c>
      <x:c r="G168" s="119" t="str">
        <x:v>src/nutri_app/services/clinical_validation.py; src/nutri_app/ui/pages/clinical_governance_page.py</x:v>
      </x:c>
      <x:c r="H168" s="119" t="str">
        <x:v>Média</x:v>
      </x:c>
      <x:c r="I168" s="1"/>
      <x:c r="J168" s="1"/>
      <x:c r="K168" s="1"/>
    </x:row>
    <x:row r="169" ht="24" hidden="0" customHeight="1">
      <x:c r="A169" s="119" t="str">
        <x:v>P1</x:v>
      </x:c>
      <x:c r="B169" s="119" t="str">
        <x:v>DIR-08</x:v>
      </x:c>
      <x:c r="C169" s="119" t="str">
        <x:v>Arquitetura e interação</x:v>
      </x:c>
      <x:c r="D169" s="119" t="str">
        <x:v>Cards expansíveis, campos agrupados por assunto, tabelas ordenáveis e filtros persistentes durante a sessão.</x:v>
      </x:c>
      <x:c r="E169" s="119" t="str">
        <x:v>Parcial</x:v>
      </x:c>
      <x:c r="F169" s="119" t="str">
        <x:v>A diretriz está parcialmente coberta e precisa de validação transversal.</x:v>
      </x:c>
      <x:c r="G169" s="119" t="str">
        <x:v>src/nutri_app/ui/resources/app.qss; src/nutri_app/ui/pages</x:v>
      </x:c>
      <x:c r="H169" s="119" t="str">
        <x:v>Média</x:v>
      </x:c>
      <x:c r="I169" s="1"/>
      <x:c r="J169" s="1"/>
      <x:c r="K169" s="1"/>
    </x:row>
    <x:row r="170" ht="24" hidden="0" customHeight="1">
      <x:c r="A170" s="119" t="str">
        <x:v>P1</x:v>
      </x:c>
      <x:c r="B170" s="119" t="str">
        <x:v>DIR-09</x:v>
      </x:c>
      <x:c r="C170" s="119" t="str">
        <x:v>Arquitetura e interação</x:v>
      </x:c>
      <x:c r="D170" s="119" t="str">
        <x:v>Verde: adequado/sem risco; amarelo: atenção; vermelho: crítico/alto risco; azul: informação/terapia ativa; cinza: ausente ou não avaliado.</x:v>
      </x:c>
      <x:c r="E170" s="119" t="str">
        <x:v>Parcial</x:v>
      </x:c>
      <x:c r="F170" s="119" t="str">
        <x:v>A diretriz está parcialmente coberta e precisa de validação transversal.</x:v>
      </x:c>
      <x:c r="G170" s="119" t="str">
        <x:v>src/nutri_app/ui/resources/app.qss; src/nutri_app/ui/pages/dashboard_page.py</x:v>
      </x:c>
      <x:c r="H170" s="119" t="str">
        <x:v>Média</x:v>
      </x:c>
      <x:c r="I170" s="1"/>
      <x:c r="J170" s="1"/>
      <x:c r="K170" s="1"/>
    </x:row>
    <x:row r="171" ht="15" hidden="0" customHeight="1">
      <x:c r="A171" s="119" t="str">
        <x:v>P1</x:v>
      </x:c>
      <x:c r="B171" s="119" t="str">
        <x:v>DIR-10</x:v>
      </x:c>
      <x:c r="C171" s="119" t="str">
        <x:v>Arquitetura e interação</x:v>
      </x:c>
      <x:c r="D171" s="119" t="str">
        <x:v>Cor nunca deve ser o único meio de transmitir estado; usar rótulo, ícone e descrição acessível.</x:v>
      </x:c>
      <x:c r="E171" s="119" t="str">
        <x:v>Parcial</x:v>
      </x:c>
      <x:c r="F171" s="119" t="str">
        <x:v>A diretriz está parcialmente coberta e precisa de validação transversal.</x:v>
      </x:c>
      <x:c r="G171" s="119" t="str">
        <x:v>src/nutri_app/ui/resources/app.qss</x:v>
      </x:c>
      <x:c r="H171" s="119" t="str">
        <x:v>Média</x:v>
      </x:c>
      <x:c r="I171" s="1"/>
      <x:c r="J171" s="1"/>
      <x:c r="K171" s="1"/>
    </x:row>
    <x:row r="172" ht="15" hidden="0" customHeight="1">
      <x:c r="A172" s="119" t="str">
        <x:v>P1</x:v>
      </x:c>
      <x:c r="B172" s="119" t="str">
        <x:v>DIR-11</x:v>
      </x:c>
      <x:c r="C172" s="119" t="str">
        <x:v>Arquitetura e interação</x:v>
      </x:c>
      <x:c r="D172" s="119" t="str">
        <x:v>Campos condicionais aparecem conforme resposta e conservam histórico quando a condição muda.</x:v>
      </x:c>
      <x:c r="E172" s="119" t="str">
        <x:v>Parcial</x:v>
      </x:c>
      <x:c r="F172" s="119" t="str">
        <x:v>A diretriz está parcialmente coberta e precisa de validação transversal.</x:v>
      </x:c>
      <x:c r="G172" s="119" t="str">
        <x:v>src/nutri_app/ui/anamnesis_form.py</x:v>
      </x:c>
      <x:c r="H172" s="119" t="str">
        <x:v>Média</x:v>
      </x:c>
      <x:c r="I172" s="1"/>
      <x:c r="J172" s="1"/>
      <x:c r="K172" s="1"/>
    </x:row>
    <x:row r="173" ht="36" hidden="0" customHeight="1">
      <x:c r="A173" s="119" t="str">
        <x:v>P1</x:v>
      </x:c>
      <x:c r="B173" s="119" t="str">
        <x:v>RF-M01-01</x:v>
      </x:c>
      <x:c r="C173" s="119" t="str">
        <x:v>DASHBOARD (CENTRO DE COMANDO)</x:v>
      </x:c>
      <x:c r="D173" s="119" t="str">
        <x:v>Cards clicáveis para pacientes ativos e internados, avaliações pendentes, reavaliações, terapias nutricionais, alertas e evoluções recentes.</x:v>
      </x:c>
      <x:c r="E173" s="119" t="str">
        <x:v>Parcial</x:v>
      </x:c>
      <x:c r="F173" s="119" t="str">
        <x:v>Faltam filtros por unidade/ala/profissional/período, atalhos clínicos e cartões plenamente clicáveis.</x:v>
      </x:c>
      <x:c r="G173" s="119" t="str">
        <x:v>src/nutri_app/ui/pages/dashboard_page.py; src/nutri_app/repositories/dashboard_repository.py; tests/test_dashboard_repository.py</x:v>
      </x:c>
      <x:c r="H173" s="119" t="str">
        <x:v>Média</x:v>
      </x:c>
      <x:c r="I173" s="1"/>
      <x:c r="J173" s="1"/>
      <x:c r="K173" s="1"/>
    </x:row>
    <x:row r="174" ht="36" hidden="0" customHeight="1">
      <x:c r="A174" s="119" t="str">
        <x:v>P1</x:v>
      </x:c>
      <x:c r="B174" s="119" t="str">
        <x:v>RF-M01-02</x:v>
      </x:c>
      <x:c r="C174" s="119" t="str">
        <x:v>DASHBOARD (CENTRO DE COMANDO)</x:v>
      </x:c>
      <x:c r="D174" s="119" t="str">
        <x:v>Filtros por unidade, ala, período, profissional e situação do atendimento, além de busca rápida por paciente, prontuário ou leito.</x:v>
      </x:c>
      <x:c r="E174" s="119" t="str">
        <x:v>Não identificado</x:v>
      </x:c>
      <x:c r="F174" s="119" t="str">
        <x:v>Não foi identificada evidência suficiente para este requisito. Faltam filtros por unidade/ala/profissional/período, atalhos clínicos e cartões plenamente clicáveis.</x:v>
      </x:c>
      <x:c r="G174" s="119" t="str">
        <x:v>src/nutri_app/ui/pages/dashboard_page.py; src/nutri_app/repositories/dashboard_repository.py; tests/test_dashboard_repository.py</x:v>
      </x:c>
      <x:c r="H174" s="119" t="str">
        <x:v>Média</x:v>
      </x:c>
      <x:c r="I174" s="1"/>
      <x:c r="J174" s="1"/>
      <x:c r="K174" s="1"/>
    </x:row>
    <x:row r="175" ht="36" hidden="0" customHeight="1">
      <x:c r="A175" s="119" t="str">
        <x:v>P1</x:v>
      </x:c>
      <x:c r="B175" s="119" t="str">
        <x:v>RF-M01-03</x:v>
      </x:c>
      <x:c r="C175" s="119" t="str">
        <x:v>DASHBOARD (CENTRO DE COMANDO)</x:v>
      </x:c>
      <x:c r="D175" s="119" t="str">
        <x:v>Painel de risco nutricional com quantidades e percentuais por classificação configurada: baixo, moderado, alto e não avaliado.</x:v>
      </x:c>
      <x:c r="E175" s="119" t="str">
        <x:v>Parcial</x:v>
      </x:c>
      <x:c r="F175" s="119" t="str">
        <x:v>Faltam filtros por unidade/ala/profissional/período, atalhos clínicos e cartões plenamente clicáveis.</x:v>
      </x:c>
      <x:c r="G175" s="119" t="str">
        <x:v>src/nutri_app/ui/pages/dashboard_page.py; src/nutri_app/repositories/dashboard_repository.py; tests/test_dashboard_repository.py</x:v>
      </x:c>
      <x:c r="H175" s="119" t="str">
        <x:v>Média</x:v>
      </x:c>
      <x:c r="I175" s="1"/>
      <x:c r="J175" s="1"/>
      <x:c r="K175" s="1"/>
    </x:row>
    <x:row r="176" ht="36" hidden="0" customHeight="1">
      <x:c r="A176" s="119" t="str">
        <x:v>P1</x:v>
      </x:c>
      <x:c r="B176" s="119" t="str">
        <x:v>RF-M01-04</x:v>
      </x:c>
      <x:c r="C176" s="119" t="str">
        <x:v>DASHBOARD (CENTRO DE COMANDO)</x:v>
      </x:c>
      <x:c r="D176" s="119" t="str">
        <x:v>Lista priorizada de pacientes que exigem atenção, considerando somente dados registrados no prontuário.</x:v>
      </x:c>
      <x:c r="E176" s="119" t="str">
        <x:v>Parcial</x:v>
      </x:c>
      <x:c r="F176" s="119" t="str">
        <x:v>Faltam filtros por unidade/ala/profissional/período, atalhos clínicos e cartões plenamente clicáveis.</x:v>
      </x:c>
      <x:c r="G176" s="119" t="str">
        <x:v>src/nutri_app/ui/pages/dashboard_page.py; src/nutri_app/repositories/dashboard_repository.py; tests/test_dashboard_repository.py</x:v>
      </x:c>
      <x:c r="H176" s="119" t="str">
        <x:v>Média</x:v>
      </x:c>
      <x:c r="I176" s="1"/>
      <x:c r="J176" s="1"/>
      <x:c r="K176" s="1"/>
    </x:row>
    <x:row r="177" ht="36" hidden="0" customHeight="1">
      <x:c r="A177" s="119" t="str">
        <x:v>P1</x:v>
      </x:c>
      <x:c r="B177" s="119" t="str">
        <x:v>RF-M01-06</x:v>
      </x:c>
      <x:c r="C177" s="119" t="str">
        <x:v>DASHBOARD (CENTRO DE COMANDO)</x:v>
      </x:c>
      <x:c r="D177" s="119" t="str">
        <x:v>Atalhos para novo paciente, nova avaliação, evolução, agenda, exames e prontuário do paciente ativo.</x:v>
      </x:c>
      <x:c r="E177" s="119" t="str">
        <x:v>Não identificado</x:v>
      </x:c>
      <x:c r="F177" s="119" t="str">
        <x:v>Não foi identificada evidência suficiente para este requisito. Faltam filtros por unidade/ala/profissional/período, atalhos clínicos e cartões plenamente clicáveis.</x:v>
      </x:c>
      <x:c r="G177" s="119" t="str">
        <x:v>src/nutri_app/ui/pages/dashboard_page.py; src/nutri_app/repositories/dashboard_repository.py; tests/test_dashboard_repository.py</x:v>
      </x:c>
      <x:c r="H177" s="119" t="str">
        <x:v>Média</x:v>
      </x:c>
      <x:c r="I177" s="1"/>
      <x:c r="J177" s="1"/>
      <x:c r="K177" s="1"/>
    </x:row>
    <x:row r="178" ht="24" hidden="0" customHeight="1">
      <x:c r="A178" s="119" t="str">
        <x:v>P1</x:v>
      </x:c>
      <x:c r="B178" s="119" t="str">
        <x:v>RF-M03-01</x:v>
      </x:c>
      <x:c r="C178" s="119" t="str">
        <x:v>AVALIAÇÃO NUTRICIONAL (CENTRAL AGRUPADORA)</x:v>
      </x:c>
      <x:c r="D178" s="119" t="str">
        <x:v>Criar avaliação inicial, reavaliação ou retorno com data, profissional, local, motivo e status.</x:v>
      </x:c>
      <x:c r="E178" s="119" t="str">
        <x:v>Parcial</x:v>
      </x:c>
      <x:c r="F178" s="119" t="str">
        <x:v>Não há central única de avaliação com cards, progresso, rascunho automático, finalização, assinatura, versão e adendo.</x:v>
      </x:c>
      <x:c r="G178" s="119" t="str">
        <x:v>src/nutri_app/ui/main_window.py; database/schema.sql</x:v>
      </x:c>
      <x:c r="H178" s="119" t="str">
        <x:v>Média</x:v>
      </x:c>
      <x:c r="I178" s="1"/>
      <x:c r="J178" s="1"/>
      <x:c r="K178" s="1"/>
    </x:row>
    <x:row r="179" ht="24" hidden="0" customHeight="1">
      <x:c r="A179" s="119" t="str">
        <x:v>P1</x:v>
      </x:c>
      <x:c r="B179" s="119" t="str">
        <x:v>RF-M03-02</x:v>
      </x:c>
      <x:c r="C179" s="119" t="str">
        <x:v>AVALIAÇÃO NUTRICIONAL (CENTRAL AGRUPADORA)</x:v>
      </x:c>
      <x:c r="D179" s="119" t="str">
        <x:v>Organizar identificação, anamnese, antropometria, clínica, exames, dietética, gasto, necessidades, diagnóstico, prescrição, plano e evolução em cards expansíveis.</x:v>
      </x:c>
      <x:c r="E179" s="119" t="str">
        <x:v>Não identificado</x:v>
      </x:c>
      <x:c r="F179" s="119" t="str">
        <x:v>Não foi identificada evidência suficiente para este requisito. Não há central única de avaliação com cards, progresso, rascunho automático, finalização, assinatura, versão e adendo.</x:v>
      </x:c>
      <x:c r="G179" s="119" t="str">
        <x:v>src/nutri_app/ui/main_window.py; database/schema.sql</x:v>
      </x:c>
      <x:c r="H179" s="119" t="str">
        <x:v>Média</x:v>
      </x:c>
      <x:c r="I179" s="1"/>
      <x:c r="J179" s="1"/>
      <x:c r="K179" s="1"/>
    </x:row>
    <x:row r="180" ht="24" hidden="0" customHeight="1">
      <x:c r="A180" s="119" t="str">
        <x:v>P1</x:v>
      </x:c>
      <x:c r="B180" s="119" t="str">
        <x:v>RF-M03-03</x:v>
      </x:c>
      <x:c r="C180" s="119" t="str">
        <x:v>AVALIAÇÃO NUTRICIONAL (CENTRAL AGRUPADORA)</x:v>
      </x:c>
      <x:c r="D180" s="119" t="str">
        <x:v>Exibir progresso por blocos aplicáveis, sem transformar itens opcionais em obrigatórios.</x:v>
      </x:c>
      <x:c r="E180" s="119" t="str">
        <x:v>Não identificado</x:v>
      </x:c>
      <x:c r="F180" s="119" t="str">
        <x:v>Não foi identificada evidência suficiente para este requisito. Não há central única de avaliação com cards, progresso, rascunho automático, finalização, assinatura, versão e adendo.</x:v>
      </x:c>
      <x:c r="G180" s="119" t="str">
        <x:v>src/nutri_app/ui/main_window.py; database/schema.sql</x:v>
      </x:c>
      <x:c r="H180" s="119" t="str">
        <x:v>Média</x:v>
      </x:c>
      <x:c r="I180" s="1"/>
      <x:c r="J180" s="1"/>
      <x:c r="K180" s="1"/>
    </x:row>
    <x:row r="181" ht="24" hidden="0" customHeight="1">
      <x:c r="A181" s="119" t="str">
        <x:v>P1</x:v>
      </x:c>
      <x:c r="B181" s="119" t="str">
        <x:v>RF-M03-04</x:v>
      </x:c>
      <x:c r="C181" s="119" t="str">
        <x:v>AVALIAÇÃO NUTRICIONAL (CENTRAL AGRUPADORA)</x:v>
      </x:c>
      <x:c r="D181" s="119" t="str">
        <x:v>Permitir navegação entre módulos, múltiplos cards abertos e retorno ao resumo sem perda de dados.</x:v>
      </x:c>
      <x:c r="E181" s="119" t="str">
        <x:v>Parcial</x:v>
      </x:c>
      <x:c r="F181" s="119" t="str">
        <x:v>Não há central única de avaliação com cards, progresso, rascunho automático, finalização, assinatura, versão e adendo.</x:v>
      </x:c>
      <x:c r="G181" s="119" t="str">
        <x:v>src/nutri_app/ui/main_window.py; database/schema.sql</x:v>
      </x:c>
      <x:c r="H181" s="119" t="str">
        <x:v>Média</x:v>
      </x:c>
      <x:c r="I181" s="1"/>
      <x:c r="J181" s="1"/>
      <x:c r="K181" s="1"/>
    </x:row>
    <x:row r="182" ht="24" hidden="0" customHeight="1">
      <x:c r="A182" s="119" t="str">
        <x:v>P1</x:v>
      </x:c>
      <x:c r="B182" s="119" t="str">
        <x:v>RF-M03-05</x:v>
      </x:c>
      <x:c r="C182" s="119" t="str">
        <x:v>AVALIAÇÃO NUTRICIONAL (CENTRAL AGRUPADORA)</x:v>
      </x:c>
      <x:c r="D182" s="119" t="str">
        <x:v>Apresentar resumo clínico editável, alertas de inconsistência e pendências antes da finalização.</x:v>
      </x:c>
      <x:c r="E182" s="119" t="str">
        <x:v>Parcial</x:v>
      </x:c>
      <x:c r="F182" s="119" t="str">
        <x:v>Não há central única de avaliação com cards, progresso, rascunho automático, finalização, assinatura, versão e adendo.</x:v>
      </x:c>
      <x:c r="G182" s="119" t="str">
        <x:v>src/nutri_app/ui/main_window.py; database/schema.sql</x:v>
      </x:c>
      <x:c r="H182" s="119" t="str">
        <x:v>Média</x:v>
      </x:c>
      <x:c r="I182" s="1"/>
      <x:c r="J182" s="1"/>
      <x:c r="K182" s="1"/>
    </x:row>
    <x:row r="183" ht="24" hidden="0" customHeight="1">
      <x:c r="A183" s="119" t="str">
        <x:v>P1</x:v>
      </x:c>
      <x:c r="B183" s="119" t="str">
        <x:v>RF-M03-06</x:v>
      </x:c>
      <x:c r="C183" s="119" t="str">
        <x:v>AVALIAÇÃO NUTRICIONAL (CENTRAL AGRUPADORA)</x:v>
      </x:c>
      <x:c r="D183" s="119" t="str">
        <x:v>Salvar rascunhos automaticamente e registrar finalização, revisão, assinatura e versão.</x:v>
      </x:c>
      <x:c r="E183" s="119" t="str">
        <x:v>Não identificado</x:v>
      </x:c>
      <x:c r="F183" s="119" t="str">
        <x:v>Não foi identificada evidência suficiente para este requisito. Não há central única de avaliação com cards, progresso, rascunho automático, finalização, assinatura, versão e adendo.</x:v>
      </x:c>
      <x:c r="G183" s="119" t="str">
        <x:v>src/nutri_app/ui/main_window.py; database/schema.sql</x:v>
      </x:c>
      <x:c r="H183" s="119" t="str">
        <x:v>Média</x:v>
      </x:c>
      <x:c r="I183" s="1"/>
      <x:c r="J183" s="1"/>
      <x:c r="K183" s="1"/>
    </x:row>
    <x:row r="184" ht="24" hidden="0" customHeight="1">
      <x:c r="A184" s="119" t="str">
        <x:v>P1</x:v>
      </x:c>
      <x:c r="B184" s="119" t="str">
        <x:v>RF-M08-01</x:v>
      </x:c>
      <x:c r="C184" s="119" t="str">
        <x:v>AVALIAÇÃO DIETÉTICA</x:v>
      </x:c>
      <x:c r="D184" s="119" t="str">
        <x:v>Rotina de refeições, local, companhia, preparo, ritmo, mastigação e disponibilidade de alimentos.</x:v>
      </x:c>
      <x:c r="E184" s="119" t="str">
        <x:v>Parcial</x:v>
      </x:c>
      <x:c r="F184" s="119" t="str">
        <x:v>Não há módulo dietético próprio com frequência por grupos, aceitação hospitalar e resumo qualitativo estruturado.</x:v>
      </x:c>
      <x:c r="G184" s="119" t="str">
        <x:v>src/nutri_app/ui/anamnesis_form.py; database/schema.sql</x:v>
      </x:c>
      <x:c r="H184" s="119" t="str">
        <x:v>Média</x:v>
      </x:c>
      <x:c r="I184" s="1"/>
      <x:c r="J184" s="1"/>
      <x:c r="K184" s="1"/>
    </x:row>
    <x:row r="185" ht="24" hidden="0" customHeight="1">
      <x:c r="A185" s="119" t="str">
        <x:v>P1</x:v>
      </x:c>
      <x:c r="B185" s="119" t="str">
        <x:v>RF-M08-02</x:v>
      </x:c>
      <x:c r="C185" s="119" t="str">
        <x:v>AVALIAÇÃO DIETÉTICA</x:v>
      </x:c>
      <x:c r="D185" s="119" t="str">
        <x:v>Preferências, aversões, restrições culturais ou religiosas, alergias vinculadas e consistência tolerada.</x:v>
      </x:c>
      <x:c r="E185" s="119" t="str">
        <x:v>Parcial</x:v>
      </x:c>
      <x:c r="F185" s="119" t="str">
        <x:v>Não há módulo dietético próprio com frequência por grupos, aceitação hospitalar e resumo qualitativo estruturado.</x:v>
      </x:c>
      <x:c r="G185" s="119" t="str">
        <x:v>src/nutri_app/ui/anamnesis_form.py; database/schema.sql</x:v>
      </x:c>
      <x:c r="H185" s="119" t="str">
        <x:v>Média</x:v>
      </x:c>
      <x:c r="I185" s="1"/>
      <x:c r="J185" s="1"/>
      <x:c r="K185" s="1"/>
    </x:row>
    <x:row r="186" ht="24" hidden="0" customHeight="1">
      <x:c r="A186" s="119" t="str">
        <x:v>P1</x:v>
      </x:c>
      <x:c r="B186" s="119" t="str">
        <x:v>RF-M08-03</x:v>
      </x:c>
      <x:c r="C186" s="119" t="str">
        <x:v>AVALIAÇÃO DIETÉTICA</x:v>
      </x:c>
      <x:c r="D186" s="119" t="str">
        <x:v>Frequência por grupos alimentares, consumo hídrico, bebidas, ultraprocessados e suplementos.</x:v>
      </x:c>
      <x:c r="E186" s="119" t="str">
        <x:v>Parcial</x:v>
      </x:c>
      <x:c r="F186" s="119" t="str">
        <x:v>Não há módulo dietético próprio com frequência por grupos, aceitação hospitalar e resumo qualitativo estruturado.</x:v>
      </x:c>
      <x:c r="G186" s="119" t="str">
        <x:v>src/nutri_app/ui/anamnesis_form.py; database/schema.sql</x:v>
      </x:c>
      <x:c r="H186" s="119" t="str">
        <x:v>Média</x:v>
      </x:c>
      <x:c r="I186" s="1"/>
      <x:c r="J186" s="1"/>
      <x:c r="K186" s="1"/>
    </x:row>
    <x:row r="187" ht="24" hidden="0" customHeight="1">
      <x:c r="A187" s="119" t="str">
        <x:v>P1</x:v>
      </x:c>
      <x:c r="B187" s="119" t="str">
        <x:v>RF-M08-04</x:v>
      </x:c>
      <x:c r="C187" s="119" t="str">
        <x:v>AVALIAÇÃO DIETÉTICA</x:v>
      </x:c>
      <x:c r="D187" s="119" t="str">
        <x:v>Aceitação alimentar hospitalar, motivos de baixa ingestão e necessidade de assistência.</x:v>
      </x:c>
      <x:c r="E187" s="119" t="str">
        <x:v>Parcial</x:v>
      </x:c>
      <x:c r="F187" s="119" t="str">
        <x:v>Não há módulo dietético próprio com frequência por grupos, aceitação hospitalar e resumo qualitativo estruturado.</x:v>
      </x:c>
      <x:c r="G187" s="119" t="str">
        <x:v>src/nutri_app/ui/anamnesis_form.py; database/schema.sql</x:v>
      </x:c>
      <x:c r="H187" s="119" t="str">
        <x:v>Média</x:v>
      </x:c>
      <x:c r="I187" s="1"/>
      <x:c r="J187" s="1"/>
      <x:c r="K187" s="1"/>
    </x:row>
    <x:row r="188" ht="24" hidden="0" customHeight="1">
      <x:c r="A188" s="119" t="str">
        <x:v>P1</x:v>
      </x:c>
      <x:c r="B188" s="119" t="str">
        <x:v>RF-M08-05</x:v>
      </x:c>
      <x:c r="C188" s="119" t="str">
        <x:v>AVALIAÇÃO DIETÉTICA</x:v>
      </x:c>
      <x:c r="D188" s="119" t="str">
        <x:v>Avaliação qualitativa e resumo editável com fatores favoráveis, riscos e oportunidades.</x:v>
      </x:c>
      <x:c r="E188" s="119" t="str">
        <x:v>Parcial</x:v>
      </x:c>
      <x:c r="F188" s="119" t="str">
        <x:v>Não há módulo dietético próprio com frequência por grupos, aceitação hospitalar e resumo qualitativo estruturado.</x:v>
      </x:c>
      <x:c r="G188" s="119" t="str">
        <x:v>src/nutri_app/ui/anamnesis_form.py; database/schema.sql</x:v>
      </x:c>
      <x:c r="H188" s="119" t="str">
        <x:v>Média</x:v>
      </x:c>
      <x:c r="I188" s="1"/>
      <x:c r="J188" s="1"/>
      <x:c r="K188" s="1"/>
    </x:row>
    <x:row r="189" ht="24" hidden="0" customHeight="1">
      <x:c r="A189" s="119" t="str">
        <x:v>P1</x:v>
      </x:c>
      <x:c r="B189" s="119" t="str">
        <x:v>RF-M09-01</x:v>
      </x:c>
      <x:c r="C189" s="119" t="str">
        <x:v>RECORDATÓRIO ALIMENTAR</x:v>
      </x:c>
      <x:c r="D189" s="119" t="str">
        <x:v>Recordatório de 24, 48 ou 72 horas e período personalizado, organizado por dia, refeição e horário.</x:v>
      </x:c>
      <x:c r="E189" s="119" t="str">
        <x:v>Não identificado</x:v>
      </x:c>
      <x:c r="F189" s="119" t="str">
        <x:v>Não foi identificada evidência suficiente para este requisito. Não foi identificado recordatório alimentar de 24/48/72 h, consumo efetivo, sobras, sintomas e comparação com metas.</x:v>
      </x:c>
      <x:c r="G189" s="119" t="str">
        <x:v>src/nutri_app/ui/main_window.py; database/schema.sql</x:v>
      </x:c>
      <x:c r="H189" s="119" t="str">
        <x:v>Média</x:v>
      </x:c>
      <x:c r="I189" s="1"/>
      <x:c r="J189" s="1"/>
      <x:c r="K189" s="1"/>
    </x:row>
    <x:row r="190" ht="24" hidden="0" customHeight="1">
      <x:c r="A190" s="119" t="str">
        <x:v>P1</x:v>
      </x:c>
      <x:c r="B190" s="119" t="str">
        <x:v>RF-M09-02</x:v>
      </x:c>
      <x:c r="C190" s="119" t="str">
        <x:v>RECORDATÓRIO ALIMENTAR</x:v>
      </x:c>
      <x:c r="D190" s="119" t="str">
        <x:v>Busca no banco de alimentos e receitas, medidas caseiras, gramas/mL e descrição de preparo.</x:v>
      </x:c>
      <x:c r="E190" s="119" t="str">
        <x:v>Não identificado</x:v>
      </x:c>
      <x:c r="F190" s="119" t="str">
        <x:v>Não foi identificada evidência suficiente para este requisito. Não foi identificado recordatório alimentar de 24/48/72 h, consumo efetivo, sobras, sintomas e comparação com metas.</x:v>
      </x:c>
      <x:c r="G190" s="119" t="str">
        <x:v>src/nutri_app/ui/main_window.py; database/schema.sql</x:v>
      </x:c>
      <x:c r="H190" s="119" t="str">
        <x:v>Média</x:v>
      </x:c>
      <x:c r="I190" s="1"/>
      <x:c r="J190" s="1"/>
      <x:c r="K190" s="1"/>
    </x:row>
    <x:row r="191" ht="24" hidden="0" customHeight="1">
      <x:c r="A191" s="119" t="str">
        <x:v>P1</x:v>
      </x:c>
      <x:c r="B191" s="119" t="str">
        <x:v>RF-M09-03</x:v>
      </x:c>
      <x:c r="C191" s="119" t="str">
        <x:v>RECORDATÓRIO ALIMENTAR</x:v>
      </x:c>
      <x:c r="D191" s="119" t="str">
        <x:v>Cálculo de energia, macronutrientes, fibras, água e micronutrientes disponíveis.</x:v>
      </x:c>
      <x:c r="E191" s="119" t="str">
        <x:v>Não identificado</x:v>
      </x:c>
      <x:c r="F191" s="119" t="str">
        <x:v>Não foi identificada evidência suficiente para este requisito. Não foi identificado recordatório alimentar de 24/48/72 h, consumo efetivo, sobras, sintomas e comparação com metas.</x:v>
      </x:c>
      <x:c r="G191" s="119" t="str">
        <x:v>src/nutri_app/ui/main_window.py; database/schema.sql</x:v>
      </x:c>
      <x:c r="H191" s="119" t="str">
        <x:v>Média</x:v>
      </x:c>
      <x:c r="I191" s="1"/>
      <x:c r="J191" s="1"/>
      <x:c r="K191" s="1"/>
    </x:row>
    <x:row r="192" ht="24" hidden="0" customHeight="1">
      <x:c r="A192" s="119" t="str">
        <x:v>P1</x:v>
      </x:c>
      <x:c r="B192" s="119" t="str">
        <x:v>RF-M09-04</x:v>
      </x:c>
      <x:c r="C192" s="119" t="str">
        <x:v>RECORDATÓRIO ALIMENTAR</x:v>
      </x:c>
      <x:c r="D192" s="119" t="str">
        <x:v>Distribuição por refeição e comparação com necessidades e plano alimentar.</x:v>
      </x:c>
      <x:c r="E192" s="119" t="str">
        <x:v>Não identificado</x:v>
      </x:c>
      <x:c r="F192" s="119" t="str">
        <x:v>Não foi identificada evidência suficiente para este requisito. Não foi identificado recordatório alimentar de 24/48/72 h, consumo efetivo, sobras, sintomas e comparação com metas.</x:v>
      </x:c>
      <x:c r="G192" s="119" t="str">
        <x:v>src/nutri_app/ui/main_window.py; database/schema.sql</x:v>
      </x:c>
      <x:c r="H192" s="119" t="str">
        <x:v>Média</x:v>
      </x:c>
      <x:c r="I192" s="1"/>
      <x:c r="J192" s="1"/>
      <x:c r="K192" s="1"/>
    </x:row>
    <x:row r="193" ht="24" hidden="0" customHeight="1">
      <x:c r="A193" s="119" t="str">
        <x:v>P1</x:v>
      </x:c>
      <x:c r="B193" s="119" t="str">
        <x:v>RF-M09-05</x:v>
      </x:c>
      <x:c r="C193" s="119" t="str">
        <x:v>RECORDATÓRIO ALIMENTAR</x:v>
      </x:c>
      <x:c r="D193" s="119" t="str">
        <x:v>Registro de consumo parcial, sobras, aceitação, sintomas e fonte da informação.</x:v>
      </x:c>
      <x:c r="E193" s="119" t="str">
        <x:v>Não identificado</x:v>
      </x:c>
      <x:c r="F193" s="119" t="str">
        <x:v>Não foi identificada evidência suficiente para este requisito. Não foi identificado recordatório alimentar de 24/48/72 h, consumo efetivo, sobras, sintomas e comparação com metas.</x:v>
      </x:c>
      <x:c r="G193" s="119" t="str">
        <x:v>src/nutri_app/ui/main_window.py; database/schema.sql</x:v>
      </x:c>
      <x:c r="H193" s="119" t="str">
        <x:v>Média</x:v>
      </x:c>
      <x:c r="I193" s="1"/>
      <x:c r="J193" s="1"/>
      <x:c r="K193" s="1"/>
    </x:row>
    <x:row r="194" ht="36" hidden="0" customHeight="1">
      <x:c r="A194" s="119" t="str">
        <x:v>P1</x:v>
      </x:c>
      <x:c r="B194" s="119" t="str">
        <x:v>RF-M14-02</x:v>
      </x:c>
      <x:c r="C194" s="119" t="str">
        <x:v>PLANO ALIMENTAR</x:v>
      </x:c>
      <x:c r="D194" s="119" t="str">
        <x:v>Cálculo em tempo real de energia, macros, fibras, sódio e micronutrientes disponíveis.</x:v>
      </x:c>
      <x:c r="E194" s="119" t="str">
        <x:v>Parcial</x:v>
      </x:c>
      <x:c r="F194" s="119" t="str">
        <x:v>Faltam micronutrientes completos, equivalências seguras, lista de compras/PDF própria, versionamento e importação formal de dietas prontas.</x:v>
      </x:c>
      <x:c r="G194" s="119" t="str">
        <x:v>src/nutri_app/ui/pages/meal_plan_page.py; src/nutri_app/repositories/meal_plan_repository.py; src/nutri_app/services/meal_plan.py; tests/test_meal_plan.py</x:v>
      </x:c>
      <x:c r="H194" s="119" t="str">
        <x:v>Média</x:v>
      </x:c>
      <x:c r="I194" s="1"/>
      <x:c r="J194" s="1"/>
      <x:c r="K194" s="1"/>
    </x:row>
    <x:row r="195" ht="36" hidden="0" customHeight="1">
      <x:c r="A195" s="119" t="str">
        <x:v>P1</x:v>
      </x:c>
      <x:c r="B195" s="119" t="str">
        <x:v>RF-M14-04</x:v>
      </x:c>
      <x:c r="C195" s="119" t="str">
        <x:v>PLANO ALIMENTAR</x:v>
      </x:c>
      <x:c r="D195" s="119" t="str">
        <x:v>Substituições quantitativas por equivalência e alternativas compatíveis com alergias e preferências.</x:v>
      </x:c>
      <x:c r="E195" s="119" t="str">
        <x:v>Parcial</x:v>
      </x:c>
      <x:c r="F195" s="119" t="str">
        <x:v>Faltam micronutrientes completos, equivalências seguras, lista de compras/PDF própria, versionamento e importação formal de dietas prontas.</x:v>
      </x:c>
      <x:c r="G195" s="119" t="str">
        <x:v>src/nutri_app/ui/pages/meal_plan_page.py; src/nutri_app/repositories/meal_plan_repository.py; src/nutri_app/services/meal_plan.py; tests/test_meal_plan.py</x:v>
      </x:c>
      <x:c r="H195" s="119" t="str">
        <x:v>Média</x:v>
      </x:c>
      <x:c r="I195" s="1"/>
      <x:c r="J195" s="1"/>
      <x:c r="K195" s="1"/>
    </x:row>
    <x:row r="196" ht="36" hidden="0" customHeight="1">
      <x:c r="A196" s="119" t="str">
        <x:v>P1</x:v>
      </x:c>
      <x:c r="B196" s="119" t="str">
        <x:v>RF-M14-05</x:v>
      </x:c>
      <x:c r="C196" s="119" t="str">
        <x:v>PLANO ALIMENTAR</x:v>
      </x:c>
      <x:c r="D196" s="119" t="str">
        <x:v>Lista de compras, impressão/PDF, publicação no portal e histórico de versões.</x:v>
      </x:c>
      <x:c r="E196" s="119" t="str">
        <x:v>Parcial</x:v>
      </x:c>
      <x:c r="F196" s="119" t="str">
        <x:v>Faltam micronutrientes completos, equivalências seguras, lista de compras/PDF própria, versionamento e importação formal de dietas prontas.</x:v>
      </x:c>
      <x:c r="G196" s="119" t="str">
        <x:v>src/nutri_app/ui/pages/meal_plan_page.py; src/nutri_app/repositories/meal_plan_repository.py; src/nutri_app/services/meal_plan.py; tests/test_meal_plan.py</x:v>
      </x:c>
      <x:c r="H196" s="119" t="str">
        <x:v>Média</x:v>
      </x:c>
      <x:c r="I196" s="1"/>
      <x:c r="J196" s="1"/>
      <x:c r="K196" s="1"/>
    </x:row>
    <x:row r="197" ht="36" hidden="0" customHeight="1">
      <x:c r="A197" s="119" t="str">
        <x:v>P1</x:v>
      </x:c>
      <x:c r="B197" s="119" t="str">
        <x:v>RF-M14-06</x:v>
      </x:c>
      <x:c r="C197" s="119" t="str">
        <x:v>PLANO ALIMENTAR</x:v>
      </x:c>
      <x:c r="D197" s="119" t="str">
        <x:v>Importação de dieta pronta ou receita sem perder a possibilidade de individualização.</x:v>
      </x:c>
      <x:c r="E197" s="119" t="str">
        <x:v>Parcial</x:v>
      </x:c>
      <x:c r="F197" s="119" t="str">
        <x:v>Faltam micronutrientes completos, equivalências seguras, lista de compras/PDF própria, versionamento e importação formal de dietas prontas.</x:v>
      </x:c>
      <x:c r="G197" s="119" t="str">
        <x:v>src/nutri_app/ui/pages/meal_plan_page.py; src/nutri_app/repositories/meal_plan_repository.py; src/nutri_app/services/meal_plan.py; tests/test_meal_plan.py</x:v>
      </x:c>
      <x:c r="H197" s="119" t="str">
        <x:v>Média</x:v>
      </x:c>
      <x:c r="I197" s="1"/>
      <x:c r="J197" s="1"/>
      <x:c r="K197" s="1"/>
    </x:row>
    <x:row r="198" ht="36" hidden="0" customHeight="1">
      <x:c r="A198" s="119" t="str">
        <x:v>P1</x:v>
      </x:c>
      <x:c r="B198" s="119" t="str">
        <x:v>RF-M16-01</x:v>
      </x:c>
      <x:c r="C198" s="119" t="str">
        <x:v>BANCO DE ALIMENTOS</x:v>
      </x:c>
      <x:c r="D198" s="119" t="str">
        <x:v>Integração de bases oficiais como TACO, TBCA, USDA e IBGE, respeitando licença, versão e origem.</x:v>
      </x:c>
      <x:c r="E198" s="119" t="str">
        <x:v>Parcial</x:v>
      </x:c>
      <x:c r="F198" s="119" t="str">
        <x:v>Faltam integração governada com bases oficiais, licença/versão/data por valor, conflitos, sinônimos/marca e composição lipídica detalhada.</x:v>
      </x:c>
      <x:c r="G198" s="119" t="str">
        <x:v>src/nutri_app/ui/pages/food_database_page.py; src/nutri_app/repositories/food_repository.py; src/nutri_app/services/food.py; tests/test_food_database.py</x:v>
      </x:c>
      <x:c r="H198" s="119" t="str">
        <x:v>Média</x:v>
      </x:c>
      <x:c r="I198" s="1"/>
      <x:c r="J198" s="1"/>
      <x:c r="K198" s="1"/>
    </x:row>
    <x:row r="199" ht="36" hidden="0" customHeight="1">
      <x:c r="A199" s="119" t="str">
        <x:v>P1</x:v>
      </x:c>
      <x:c r="B199" s="119" t="str">
        <x:v>RF-M16-02</x:v>
      </x:c>
      <x:c r="C199" s="119" t="str">
        <x:v>BANCO DE ALIMENTOS</x:v>
      </x:c>
      <x:c r="D199" s="119" t="str">
        <x:v>Cadastro por 100 g/mL de energia, macros, fibras, minerais, vitaminas, colesterol e ácidos graxos disponíveis.</x:v>
      </x:c>
      <x:c r="E199" s="119" t="str">
        <x:v>Parcial</x:v>
      </x:c>
      <x:c r="F199" s="119" t="str">
        <x:v>Faltam integração governada com bases oficiais, licença/versão/data por valor, conflitos, sinônimos/marca e composição lipídica detalhada.</x:v>
      </x:c>
      <x:c r="G199" s="119" t="str">
        <x:v>src/nutri_app/ui/pages/food_database_page.py; src/nutri_app/repositories/food_repository.py; src/nutri_app/services/food.py; tests/test_food_database.py</x:v>
      </x:c>
      <x:c r="H199" s="119" t="str">
        <x:v>Média</x:v>
      </x:c>
      <x:c r="I199" s="1"/>
      <x:c r="J199" s="1"/>
      <x:c r="K199" s="1"/>
    </x:row>
    <x:row r="200" ht="36" hidden="0" customHeight="1">
      <x:c r="A200" s="119" t="str">
        <x:v>P1</x:v>
      </x:c>
      <x:c r="B200" s="119" t="str">
        <x:v>RF-M16-03</x:v>
      </x:c>
      <x:c r="C200" s="119" t="str">
        <x:v>BANCO DE ALIMENTOS</x:v>
      </x:c>
      <x:c r="D200" s="119" t="str">
        <x:v>Medidas caseiras, porções, densidade, rendimento, grupo alimentar, marca e alimento industrializado.</x:v>
      </x:c>
      <x:c r="E200" s="119" t="str">
        <x:v>Parcial</x:v>
      </x:c>
      <x:c r="F200" s="119" t="str">
        <x:v>Faltam integração governada com bases oficiais, licença/versão/data por valor, conflitos, sinônimos/marca e composição lipídica detalhada.</x:v>
      </x:c>
      <x:c r="G200" s="119" t="str">
        <x:v>src/nutri_app/ui/pages/food_database_page.py; src/nutri_app/repositories/food_repository.py; src/nutri_app/services/food.py; tests/test_food_database.py</x:v>
      </x:c>
      <x:c r="H200" s="119" t="str">
        <x:v>Média</x:v>
      </x:c>
      <x:c r="I200" s="1"/>
      <x:c r="J200" s="1"/>
      <x:c r="K200" s="1"/>
    </x:row>
    <x:row r="201" ht="36" hidden="0" customHeight="1">
      <x:c r="A201" s="119" t="str">
        <x:v>P1</x:v>
      </x:c>
      <x:c r="B201" s="119" t="str">
        <x:v>RF-M16-04</x:v>
      </x:c>
      <x:c r="C201" s="119" t="str">
        <x:v>BANCO DE ALIMENTOS</x:v>
      </x:c>
      <x:c r="D201" s="119" t="str">
        <x:v>Importação, atualização, comparação de versões, detecção de conflitos e validação de linhas.</x:v>
      </x:c>
      <x:c r="E201" s="119" t="str">
        <x:v>Não identificado</x:v>
      </x:c>
      <x:c r="F201" s="119" t="str">
        <x:v>Não foi identificada evidência suficiente para este requisito. Faltam integração governada com bases oficiais, licença/versão/data por valor, conflitos, sinônimos/marca e composição lipídica detalhada.</x:v>
      </x:c>
      <x:c r="G201" s="119" t="str">
        <x:v>src/nutri_app/ui/pages/food_database_page.py; src/nutri_app/repositories/food_repository.py; src/nutri_app/services/food.py; tests/test_food_database.py</x:v>
      </x:c>
      <x:c r="H201" s="119" t="str">
        <x:v>Média</x:v>
      </x:c>
      <x:c r="I201" s="1"/>
      <x:c r="J201" s="1"/>
      <x:c r="K201" s="1"/>
    </x:row>
    <x:row r="202" ht="36" hidden="0" customHeight="1">
      <x:c r="A202" s="119" t="str">
        <x:v>P1</x:v>
      </x:c>
      <x:c r="B202" s="119" t="str">
        <x:v>RF-M16-05</x:v>
      </x:c>
      <x:c r="C202" s="119" t="str">
        <x:v>BANCO DE ALIMENTOS</x:v>
      </x:c>
      <x:c r="D202" s="119" t="str">
        <x:v>Busca por nome, sinônimo, marca, grupo e fonte, com inativação em vez de exclusão quando referenciado.</x:v>
      </x:c>
      <x:c r="E202" s="119" t="str">
        <x:v>Parcial</x:v>
      </x:c>
      <x:c r="F202" s="119" t="str">
        <x:v>Faltam integração governada com bases oficiais, licença/versão/data por valor, conflitos, sinônimos/marca e composição lipídica detalhada.</x:v>
      </x:c>
      <x:c r="G202" s="119" t="str">
        <x:v>src/nutri_app/ui/pages/food_database_page.py; src/nutri_app/repositories/food_repository.py; src/nutri_app/services/food.py; tests/test_food_database.py</x:v>
      </x:c>
      <x:c r="H202" s="119" t="str">
        <x:v>Média</x:v>
      </x:c>
      <x:c r="I202" s="1"/>
      <x:c r="J202" s="1"/>
      <x:c r="K202" s="1"/>
    </x:row>
    <x:row r="203" ht="24" hidden="0" customHeight="1">
      <x:c r="A203" s="119" t="str">
        <x:v>P1</x:v>
      </x:c>
      <x:c r="B203" s="119" t="str">
        <x:v>RF-M23-01</x:v>
      </x:c>
      <x:c r="C203" s="119" t="str">
        <x:v>COMPARATIVO DE AVALIAÇÕES</x:v>
      </x:c>
      <x:c r="D203" s="119" t="str">
        <x:v>Seleção de duas ou mais avaliações e períodos personalizados.</x:v>
      </x:c>
      <x:c r="E203" s="119" t="str">
        <x:v>Parcial</x:v>
      </x:c>
      <x:c r="F203" s="119" t="str">
        <x:v>Faltam seleção simultânea de avaliações/séries, variações absolutas/percentuais, eventos sobrepostos e navegação à origem.</x:v>
      </x:c>
      <x:c r="G203" s="119" t="str">
        <x:v>src/nutri_app/ui/pages/dashboard_page.py; src/nutri_app/repositories/dashboard_repository.py</x:v>
      </x:c>
      <x:c r="H203" s="119" t="str">
        <x:v>Média</x:v>
      </x:c>
      <x:c r="I203" s="1"/>
      <x:c r="J203" s="1"/>
      <x:c r="K203" s="1"/>
    </x:row>
    <x:row r="204" ht="24" hidden="0" customHeight="1">
      <x:c r="A204" s="119" t="str">
        <x:v>P1</x:v>
      </x:c>
      <x:c r="B204" s="119" t="str">
        <x:v>RF-M23-02</x:v>
      </x:c>
      <x:c r="C204" s="119" t="str">
        <x:v>COMPARATIVO DE AVALIAÇÕES</x:v>
      </x:c>
      <x:c r="D204" s="119" t="str">
        <x:v>Comparação de peso, IMC, circunferências, composição, ingestão, exames, risco, diagnóstico e adesão.</x:v>
      </x:c>
      <x:c r="E204" s="119" t="str">
        <x:v>Parcial</x:v>
      </x:c>
      <x:c r="F204" s="119" t="str">
        <x:v>Faltam seleção simultânea de avaliações/séries, variações absolutas/percentuais, eventos sobrepostos e navegação à origem.</x:v>
      </x:c>
      <x:c r="G204" s="119" t="str">
        <x:v>src/nutri_app/ui/pages/dashboard_page.py; src/nutri_app/repositories/dashboard_repository.py</x:v>
      </x:c>
      <x:c r="H204" s="119" t="str">
        <x:v>Média</x:v>
      </x:c>
      <x:c r="I204" s="1"/>
      <x:c r="J204" s="1"/>
      <x:c r="K204" s="1"/>
    </x:row>
    <x:row r="205" ht="24" hidden="0" customHeight="1">
      <x:c r="A205" s="119" t="str">
        <x:v>P1</x:v>
      </x:c>
      <x:c r="B205" s="119" t="str">
        <x:v>RF-M23-03</x:v>
      </x:c>
      <x:c r="C205" s="119" t="str">
        <x:v>COMPARATIVO DE AVALIAÇÕES</x:v>
      </x:c>
      <x:c r="D205" s="119" t="str">
        <x:v>Variação absoluta e percentual com indicação da origem de cada valor.</x:v>
      </x:c>
      <x:c r="E205" s="119" t="str">
        <x:v>Parcial</x:v>
      </x:c>
      <x:c r="F205" s="119" t="str">
        <x:v>Faltam seleção simultânea de avaliações/séries, variações absolutas/percentuais, eventos sobrepostos e navegação à origem.</x:v>
      </x:c>
      <x:c r="G205" s="119" t="str">
        <x:v>src/nutri_app/ui/pages/dashboard_page.py; src/nutri_app/repositories/dashboard_repository.py</x:v>
      </x:c>
      <x:c r="H205" s="119" t="str">
        <x:v>Média</x:v>
      </x:c>
      <x:c r="I205" s="1"/>
      <x:c r="J205" s="1"/>
      <x:c r="K205" s="1"/>
    </x:row>
    <x:row r="206" ht="24" hidden="0" customHeight="1">
      <x:c r="A206" s="119" t="str">
        <x:v>P1</x:v>
      </x:c>
      <x:c r="B206" s="119" t="str">
        <x:v>RF-M23-04</x:v>
      </x:c>
      <x:c r="C206" s="119" t="str">
        <x:v>COMPARATIVO DE AVALIAÇÕES</x:v>
      </x:c>
      <x:c r="D206" s="119" t="str">
        <x:v>Gráficos por período com filtros, unidades consistentes e possibilidade de ocultar séries.</x:v>
      </x:c>
      <x:c r="E206" s="119" t="str">
        <x:v>Parcial</x:v>
      </x:c>
      <x:c r="F206" s="119" t="str">
        <x:v>Faltam seleção simultânea de avaliações/séries, variações absolutas/percentuais, eventos sobrepostos e navegação à origem.</x:v>
      </x:c>
      <x:c r="G206" s="119" t="str">
        <x:v>src/nutri_app/ui/pages/dashboard_page.py; src/nutri_app/repositories/dashboard_repository.py</x:v>
      </x:c>
      <x:c r="H206" s="119" t="str">
        <x:v>Média</x:v>
      </x:c>
      <x:c r="I206" s="1"/>
      <x:c r="J206" s="1"/>
      <x:c r="K206" s="1"/>
    </x:row>
    <x:row r="207" ht="24" hidden="0" customHeight="1">
      <x:c r="A207" s="119" t="str">
        <x:v>P1</x:v>
      </x:c>
      <x:c r="B207" s="119" t="str">
        <x:v>RF-M23-05</x:v>
      </x:c>
      <x:c r="C207" s="119" t="str">
        <x:v>COMPARATIVO DE AVALIAÇÕES</x:v>
      </x:c>
      <x:c r="D207" s="119" t="str">
        <x:v>Eventos clínicos e mudanças de prescrição sobrepostos à linha do tempo quando disponíveis.</x:v>
      </x:c>
      <x:c r="E207" s="119" t="str">
        <x:v>Não identificado</x:v>
      </x:c>
      <x:c r="F207" s="119" t="str">
        <x:v>Não foi identificada evidência suficiente para este requisito. Faltam seleção simultânea de avaliações/séries, variações absolutas/percentuais, eventos sobrepostos e navegação à origem.</x:v>
      </x:c>
      <x:c r="G207" s="119" t="str">
        <x:v>src/nutri_app/ui/pages/dashboard_page.py; src/nutri_app/repositories/dashboard_repository.py</x:v>
      </x:c>
      <x:c r="H207" s="119" t="str">
        <x:v>Média</x:v>
      </x:c>
      <x:c r="I207" s="1"/>
      <x:c r="J207" s="1"/>
      <x:c r="K207" s="1"/>
    </x:row>
    <x:row r="208" ht="24" hidden="0" customHeight="1">
      <x:c r="A208" s="119" t="str">
        <x:v>P1</x:v>
      </x:c>
      <x:c r="B208" s="119" t="str">
        <x:v>RF-M23-06</x:v>
      </x:c>
      <x:c r="C208" s="119" t="str">
        <x:v>COMPARATIVO DE AVALIAÇÕES</x:v>
      </x:c>
      <x:c r="D208" s="119" t="str">
        <x:v>Exportação para relatório e abertura direta do registro de origem.</x:v>
      </x:c>
      <x:c r="E208" s="119" t="str">
        <x:v>Parcial</x:v>
      </x:c>
      <x:c r="F208" s="119" t="str">
        <x:v>Faltam seleção simultânea de avaliações/séries, variações absolutas/percentuais, eventos sobrepostos e navegação à origem.</x:v>
      </x:c>
      <x:c r="G208" s="119" t="str">
        <x:v>src/nutri_app/ui/pages/dashboard_page.py; src/nutri_app/repositories/dashboard_repository.py</x:v>
      </x:c>
      <x:c r="H208" s="119" t="str">
        <x:v>Média</x:v>
      </x:c>
      <x:c r="I208" s="1"/>
      <x:c r="J208" s="1"/>
      <x:c r="K208" s="1"/>
    </x:row>
    <x:row r="209" ht="24" hidden="0" customHeight="1">
      <x:c r="A209" s="119" t="str">
        <x:v>P1</x:v>
      </x:c>
      <x:c r="B209" s="119" t="str">
        <x:v>RF-M24-01</x:v>
      </x:c>
      <x:c r="C209" s="119" t="str">
        <x:v>RELATÓRIOS</x:v>
      </x:c>
      <x:c r="D209" s="119" t="str">
        <x:v>Relatório nutricional, prontuário, avaliação, evolução, comparativo, exames, prescrição, plano, alta e terapias.</x:v>
      </x:c>
      <x:c r="E209" s="119" t="str">
        <x:v>Parcial</x:v>
      </x:c>
      <x:c r="F209" s="119" t="str">
        <x:v>Faltam modelos institucionais completos, CRN/assinatura, hash/versão/finalidade, mascaramento por consentimento e exportações estruturadas.</x:v>
      </x:c>
      <x:c r="G209" s="119" t="str">
        <x:v>src/nutri_app/ui/pages/reports_page.py; src/nutri_app/services/report.py; src/nutri_app/repositories/report_repository.py; tests/test_reports.py</x:v>
      </x:c>
      <x:c r="H209" s="119" t="str">
        <x:v>Média</x:v>
      </x:c>
      <x:c r="I209" s="1"/>
      <x:c r="J209" s="1"/>
      <x:c r="K209" s="1"/>
    </x:row>
    <x:row r="210" ht="24" hidden="0" customHeight="1">
      <x:c r="A210" s="119" t="str">
        <x:v>P1</x:v>
      </x:c>
      <x:c r="B210" s="119" t="str">
        <x:v>RF-M24-02</x:v>
      </x:c>
      <x:c r="C210" s="119" t="str">
        <x:v>RELATÓRIOS</x:v>
      </x:c>
      <x:c r="D210" s="119" t="str">
        <x:v>Seleção de paciente, episódio, período, módulos e nível de detalhamento.</x:v>
      </x:c>
      <x:c r="E210" s="119" t="str">
        <x:v>Parcial</x:v>
      </x:c>
      <x:c r="F210" s="119" t="str">
        <x:v>Faltam modelos institucionais completos, CRN/assinatura, hash/versão/finalidade, mascaramento por consentimento e exportações estruturadas.</x:v>
      </x:c>
      <x:c r="G210" s="119" t="str">
        <x:v>src/nutri_app/ui/pages/reports_page.py; src/nutri_app/services/report.py; src/nutri_app/repositories/report_repository.py; tests/test_reports.py</x:v>
      </x:c>
      <x:c r="H210" s="119" t="str">
        <x:v>Média</x:v>
      </x:c>
      <x:c r="I210" s="1"/>
      <x:c r="J210" s="1"/>
      <x:c r="K210" s="1"/>
    </x:row>
    <x:row r="211" ht="24" hidden="0" customHeight="1">
      <x:c r="A211" s="119" t="str">
        <x:v>P1</x:v>
      </x:c>
      <x:c r="B211" s="119" t="str">
        <x:v>RF-M24-03</x:v>
      </x:c>
      <x:c r="C211" s="119" t="str">
        <x:v>RELATÓRIOS</x:v>
      </x:c>
      <x:c r="D211" s="119" t="str">
        <x:v>Modelos com logotipo, instituição, profissional, CRN, cabeçalho, rodapé, paginação e área de assinatura.</x:v>
      </x:c>
      <x:c r="E211" s="119" t="str">
        <x:v>Parcial</x:v>
      </x:c>
      <x:c r="F211" s="119" t="str">
        <x:v>Faltam modelos institucionais completos, CRN/assinatura, hash/versão/finalidade, mascaramento por consentimento e exportações estruturadas.</x:v>
      </x:c>
      <x:c r="G211" s="119" t="str">
        <x:v>src/nutri_app/ui/pages/reports_page.py; src/nutri_app/services/report.py; src/nutri_app/repositories/report_repository.py; tests/test_reports.py</x:v>
      </x:c>
      <x:c r="H211" s="119" t="str">
        <x:v>Média</x:v>
      </x:c>
      <x:c r="I211" s="1"/>
      <x:c r="J211" s="1"/>
      <x:c r="K211" s="1"/>
    </x:row>
    <x:row r="212" ht="24" hidden="0" customHeight="1">
      <x:c r="A212" s="119" t="str">
        <x:v>P1</x:v>
      </x:c>
      <x:c r="B212" s="119" t="str">
        <x:v>RF-M24-05</x:v>
      </x:c>
      <x:c r="C212" s="119" t="str">
        <x:v>RELATÓRIOS</x:v>
      </x:c>
      <x:c r="D212" s="119" t="str">
        <x:v>Histórico de documentos gerados com hash, autor, data, versão e finalidade.</x:v>
      </x:c>
      <x:c r="E212" s="119" t="str">
        <x:v>Parcial</x:v>
      </x:c>
      <x:c r="F212" s="119" t="str">
        <x:v>Faltam modelos institucionais completos, CRN/assinatura, hash/versão/finalidade, mascaramento por consentimento e exportações estruturadas.</x:v>
      </x:c>
      <x:c r="G212" s="119" t="str">
        <x:v>src/nutri_app/ui/pages/reports_page.py; src/nutri_app/services/report.py; src/nutri_app/repositories/report_repository.py; tests/test_reports.py</x:v>
      </x:c>
      <x:c r="H212" s="119" t="str">
        <x:v>Média</x:v>
      </x:c>
      <x:c r="I212" s="1"/>
      <x:c r="J212" s="1"/>
      <x:c r="K212" s="1"/>
    </x:row>
    <x:row r="213" ht="24" hidden="0" customHeight="1">
      <x:c r="A213" s="119" t="str">
        <x:v>P1</x:v>
      </x:c>
      <x:c r="B213" s="119" t="str">
        <x:v>RF-M24-06</x:v>
      </x:c>
      <x:c r="C213" s="119" t="str">
        <x:v>RELATÓRIOS</x:v>
      </x:c>
      <x:c r="D213" s="119" t="str">
        <x:v>Mascaramento ou exclusão de dados conforme finalidade, consentimento e permissão.</x:v>
      </x:c>
      <x:c r="E213" s="119" t="str">
        <x:v>Parcial</x:v>
      </x:c>
      <x:c r="F213" s="119" t="str">
        <x:v>Faltam modelos institucionais completos, CRN/assinatura, hash/versão/finalidade, mascaramento por consentimento e exportações estruturadas.</x:v>
      </x:c>
      <x:c r="G213" s="119" t="str">
        <x:v>src/nutri_app/ui/pages/reports_page.py; src/nutri_app/services/report.py; src/nutri_app/repositories/report_repository.py; tests/test_reports.py</x:v>
      </x:c>
      <x:c r="H213" s="119" t="str">
        <x:v>Média</x:v>
      </x:c>
      <x:c r="I213" s="1"/>
      <x:c r="J213" s="1"/>
      <x:c r="K213" s="1"/>
    </x:row>
    <x:row r="214" ht="24" hidden="0" customHeight="1">
      <x:c r="A214" s="119" t="str">
        <x:v>P1</x:v>
      </x:c>
      <x:c r="B214" s="119" t="str">
        <x:v>RF-M25-01</x:v>
      </x:c>
      <x:c r="C214" s="119" t="str">
        <x:v>ORIENTAÇÕES NUTRICIONAIS</x:v>
      </x:c>
      <x:c r="D214" s="119" t="str">
        <x:v>Materiais por condição, objetivo, faixa etária, consistência, terapia e contexto de alta/ambulatório.</x:v>
      </x:c>
      <x:c r="E214" s="119" t="str">
        <x:v>Parcial</x:v>
      </x:c>
      <x:c r="F214" s="119" t="str">
        <x:v>Falta biblioteca/editor de orientações, modelos, imagens autorizadas, revisão clínica, versão, validade e comprovante de leitura.</x:v>
      </x:c>
      <x:c r="G214" s="119" t="str">
        <x:v>src/nutri_app/ui/pages/patient_app_page.py; src/nutri_app/repositories/patient_app_repository.py</x:v>
      </x:c>
      <x:c r="H214" s="119" t="str">
        <x:v>Média</x:v>
      </x:c>
      <x:c r="I214" s="1"/>
      <x:c r="J214" s="1"/>
      <x:c r="K214" s="1"/>
    </x:row>
    <x:row r="215" ht="36" hidden="0" customHeight="1">
      <x:c r="A215" s="119" t="str">
        <x:v>P1</x:v>
      </x:c>
      <x:c r="B215" s="119" t="str">
        <x:v>RF-M25-02</x:v>
      </x:c>
      <x:c r="C215" s="119" t="str">
        <x:v>ORIENTAÇÕES NUTRICIONAIS</x:v>
      </x:c>
      <x:c r="D215" s="119" t="str">
        <x:v>Editor com texto, imagens autorizadas, recomendações, cuidados, substituições e sinais de atenção.</x:v>
      </x:c>
      <x:c r="E215" s="119" t="str">
        <x:v>Não identificado</x:v>
      </x:c>
      <x:c r="F215" s="119" t="str">
        <x:v>Não foi identificada evidência suficiente para este requisito. Falta biblioteca/editor de orientações, modelos, imagens autorizadas, revisão clínica, versão, validade e comprovante de leitura.</x:v>
      </x:c>
      <x:c r="G215" s="119" t="str">
        <x:v>src/nutri_app/ui/pages/patient_app_page.py; src/nutri_app/repositories/patient_app_repository.py</x:v>
      </x:c>
      <x:c r="H215" s="119" t="str">
        <x:v>Média</x:v>
      </x:c>
      <x:c r="I215" s="1"/>
      <x:c r="J215" s="1"/>
      <x:c r="K215" s="1"/>
    </x:row>
    <x:row r="216" ht="36" hidden="0" customHeight="1">
      <x:c r="A216" s="119" t="str">
        <x:v>P1</x:v>
      </x:c>
      <x:c r="B216" s="119" t="str">
        <x:v>RF-M25-03</x:v>
      </x:c>
      <x:c r="C216" s="119" t="str">
        <x:v>ORIENTAÇÕES NUTRICIONAIS</x:v>
      </x:c>
      <x:c r="D216" s="119" t="str">
        <x:v>Personalização pelo nutricionista sem modificar o modelo original.</x:v>
      </x:c>
      <x:c r="E216" s="119" t="str">
        <x:v>Não identificado</x:v>
      </x:c>
      <x:c r="F216" s="119" t="str">
        <x:v>Não foi identificada evidência suficiente para este requisito. Falta biblioteca/editor de orientações, modelos, imagens autorizadas, revisão clínica, versão, validade e comprovante de leitura.</x:v>
      </x:c>
      <x:c r="G216" s="119" t="str">
        <x:v>src/nutri_app/ui/pages/patient_app_page.py; src/nutri_app/repositories/patient_app_repository.py</x:v>
      </x:c>
      <x:c r="H216" s="119" t="str">
        <x:v>Média</x:v>
      </x:c>
      <x:c r="I216" s="1"/>
      <x:c r="J216" s="1"/>
      <x:c r="K216" s="1"/>
    </x:row>
    <x:row r="217" ht="24" hidden="0" customHeight="1">
      <x:c r="A217" s="119" t="str">
        <x:v>P1</x:v>
      </x:c>
      <x:c r="B217" s="119" t="str">
        <x:v>RF-M25-04</x:v>
      </x:c>
      <x:c r="C217" s="119" t="str">
        <x:v>ORIENTAÇÕES NUTRICIONAIS</x:v>
      </x:c>
      <x:c r="D217" s="119" t="str">
        <x:v>Impressão, PDF, publicação no Portal do Paciente e registro de entrega/leitura.</x:v>
      </x:c>
      <x:c r="E217" s="119" t="str">
        <x:v>Parcial</x:v>
      </x:c>
      <x:c r="F217" s="119" t="str">
        <x:v>Falta biblioteca/editor de orientações, modelos, imagens autorizadas, revisão clínica, versão, validade e comprovante de leitura.</x:v>
      </x:c>
      <x:c r="G217" s="119" t="str">
        <x:v>src/nutri_app/ui/pages/patient_app_page.py; src/nutri_app/repositories/patient_app_repository.py</x:v>
      </x:c>
      <x:c r="H217" s="119" t="str">
        <x:v>Média</x:v>
      </x:c>
      <x:c r="I217" s="1"/>
      <x:c r="J217" s="1"/>
      <x:c r="K217" s="1"/>
    </x:row>
    <x:row r="218" ht="36" hidden="0" customHeight="1">
      <x:c r="A218" s="119" t="str">
        <x:v>P1</x:v>
      </x:c>
      <x:c r="B218" s="119" t="str">
        <x:v>RF-M25-05</x:v>
      </x:c>
      <x:c r="C218" s="119" t="str">
        <x:v>ORIENTAÇÕES NUTRICIONAIS</x:v>
      </x:c>
      <x:c r="D218" s="119" t="str">
        <x:v>Versão, autoria, revisão clínica, validade e status ativo/inativo.</x:v>
      </x:c>
      <x:c r="E218" s="119" t="str">
        <x:v>Não identificado</x:v>
      </x:c>
      <x:c r="F218" s="119" t="str">
        <x:v>Não foi identificada evidência suficiente para este requisito. Falta biblioteca/editor de orientações, modelos, imagens autorizadas, revisão clínica, versão, validade e comprovante de leitura.</x:v>
      </x:c>
      <x:c r="G218" s="119" t="str">
        <x:v>src/nutri_app/ui/pages/patient_app_page.py; src/nutri_app/repositories/patient_app_repository.py</x:v>
      </x:c>
      <x:c r="H218" s="119" t="str">
        <x:v>Média</x:v>
      </x:c>
      <x:c r="I218" s="1"/>
      <x:c r="J218" s="1"/>
      <x:c r="K218" s="1"/>
    </x:row>
    <x:row r="219" ht="24" hidden="0" customHeight="1">
      <x:c r="A219" s="119" t="str">
        <x:v>P1</x:v>
      </x:c>
      <x:c r="B219" s="119" t="str">
        <x:v>RF-M27-01</x:v>
      </x:c>
      <x:c r="C219" s="119" t="str">
        <x:v>INDICADORES</x:v>
      </x:c>
      <x:c r="D219" s="119" t="str">
        <x:v>Cobertura de triagem/avaliação, prevalência de risco e desnutrição, obesidade e reavaliações no prazo.</x:v>
      </x:c>
      <x:c r="E219" s="119" t="str">
        <x:v>Parcial</x:v>
      </x:c>
      <x:c r="F219" s="119" t="str">
        <x:v>Faltam catálogo de indicadores, fórmulas auditáveis, filtros amplos, metas e indicadores TNE/TNP/produtividade/qualidade.</x:v>
      </x:c>
      <x:c r="G219" s="119" t="str">
        <x:v>src/nutri_app/repositories/dashboard_repository.py; src/nutri_app/ui/pages/dashboard_page.py</x:v>
      </x:c>
      <x:c r="H219" s="119" t="str">
        <x:v>Média</x:v>
      </x:c>
      <x:c r="I219" s="1"/>
      <x:c r="J219" s="1"/>
      <x:c r="K219" s="1"/>
    </x:row>
    <x:row r="220" ht="24" hidden="0" customHeight="1">
      <x:c r="A220" s="119" t="str">
        <x:v>P1</x:v>
      </x:c>
      <x:c r="B220" s="119" t="str">
        <x:v>RF-M27-02</x:v>
      </x:c>
      <x:c r="C220" s="119" t="str">
        <x:v>INDICADORES</x:v>
      </x:c>
      <x:c r="D220" s="119" t="str">
        <x:v>Adequação de aporte, interrupções e intercorrências em TNE/TNP, adesão e evolução antropométrica.</x:v>
      </x:c>
      <x:c r="E220" s="119" t="str">
        <x:v>Parcial</x:v>
      </x:c>
      <x:c r="F220" s="119" t="str">
        <x:v>Faltam catálogo de indicadores, fórmulas auditáveis, filtros amplos, metas e indicadores TNE/TNP/produtividade/qualidade.</x:v>
      </x:c>
      <x:c r="G220" s="119" t="str">
        <x:v>src/nutri_app/repositories/dashboard_repository.py; src/nutri_app/ui/pages/dashboard_page.py</x:v>
      </x:c>
      <x:c r="H220" s="119" t="str">
        <x:v>Média</x:v>
      </x:c>
      <x:c r="I220" s="1"/>
      <x:c r="J220" s="1"/>
      <x:c r="K220" s="1"/>
    </x:row>
    <x:row r="221" ht="24" hidden="0" customHeight="1">
      <x:c r="A221" s="119" t="str">
        <x:v>P1</x:v>
      </x:c>
      <x:c r="B221" s="119" t="str">
        <x:v>RF-M27-03</x:v>
      </x:c>
      <x:c r="C221" s="119" t="str">
        <x:v>INDICADORES</x:v>
      </x:c>
      <x:c r="D221" s="119" t="str">
        <x:v>Indicadores de prescrição, plano, evolução, produtividade, qualidade e tempo de acompanhamento.</x:v>
      </x:c>
      <x:c r="E221" s="119" t="str">
        <x:v>Parcial</x:v>
      </x:c>
      <x:c r="F221" s="119" t="str">
        <x:v>Faltam catálogo de indicadores, fórmulas auditáveis, filtros amplos, metas e indicadores TNE/TNP/produtividade/qualidade.</x:v>
      </x:c>
      <x:c r="G221" s="119" t="str">
        <x:v>src/nutri_app/repositories/dashboard_repository.py; src/nutri_app/ui/pages/dashboard_page.py</x:v>
      </x:c>
      <x:c r="H221" s="119" t="str">
        <x:v>Média</x:v>
      </x:c>
      <x:c r="I221" s="1"/>
      <x:c r="J221" s="1"/>
      <x:c r="K221" s="1"/>
    </x:row>
    <x:row r="222" ht="24" hidden="0" customHeight="1">
      <x:c r="A222" s="119" t="str">
        <x:v>P1</x:v>
      </x:c>
      <x:c r="B222" s="119" t="str">
        <x:v>RF-M27-04</x:v>
      </x:c>
      <x:c r="C222" s="119" t="str">
        <x:v>INDICADORES</x:v>
      </x:c>
      <x:c r="D222" s="119" t="str">
        <x:v>Filtros por período, unidade, população, profissional e situação, com comparação temporal.</x:v>
      </x:c>
      <x:c r="E222" s="119" t="str">
        <x:v>Parcial</x:v>
      </x:c>
      <x:c r="F222" s="119" t="str">
        <x:v>Faltam catálogo de indicadores, fórmulas auditáveis, filtros amplos, metas e indicadores TNE/TNP/produtividade/qualidade.</x:v>
      </x:c>
      <x:c r="G222" s="119" t="str">
        <x:v>src/nutri_app/repositories/dashboard_repository.py; src/nutri_app/ui/pages/dashboard_page.py</x:v>
      </x:c>
      <x:c r="H222" s="119" t="str">
        <x:v>Média</x:v>
      </x:c>
      <x:c r="I222" s="1"/>
      <x:c r="J222" s="1"/>
      <x:c r="K222" s="1"/>
    </x:row>
    <x:row r="223" ht="24" hidden="0" customHeight="1">
      <x:c r="A223" s="119" t="str">
        <x:v>P1</x:v>
      </x:c>
      <x:c r="B223" s="119" t="str">
        <x:v>RF-M27-06</x:v>
      </x:c>
      <x:c r="C223" s="119" t="str">
        <x:v>INDICADORES</x:v>
      </x:c>
      <x:c r="D223" s="119" t="str">
        <x:v>Cadastro de indicador com fórmula, fonte, periodicidade, responsável e validação.</x:v>
      </x:c>
      <x:c r="E223" s="119" t="str">
        <x:v>Não identificado</x:v>
      </x:c>
      <x:c r="F223" s="119" t="str">
        <x:v>Não foi identificada evidência suficiente para este requisito. Faltam catálogo de indicadores, fórmulas auditáveis, filtros amplos, metas e indicadores TNE/TNP/produtividade/qualidade.</x:v>
      </x:c>
      <x:c r="G223" s="119" t="str">
        <x:v>src/nutri_app/repositories/dashboard_repository.py; src/nutri_app/ui/pages/dashboard_page.py</x:v>
      </x:c>
      <x:c r="H223" s="119" t="str">
        <x:v>Média</x:v>
      </x:c>
      <x:c r="I223" s="1"/>
      <x:c r="J223" s="1"/>
      <x:c r="K223" s="1"/>
    </x:row>
    <x:row r="224" ht="36" hidden="0" customHeight="1">
      <x:c r="A224" s="119" t="str">
        <x:v>P1</x:v>
      </x:c>
      <x:c r="B224" s="119" t="str">
        <x:v>RF-M30-03</x:v>
      </x:c>
      <x:c r="C224" s="119" t="str">
        <x:v>IA NUTRICIONAL ASSISTIVA</x:v>
      </x:c>
      <x:c r="D224" s="119" t="str">
        <x:v>Análise de tendências de antropometria, ingestão, exames e adesão com explicação das evidências.</x:v>
      </x:c>
      <x:c r="E224" s="119" t="str">
        <x:v>Parcial</x:v>
      </x:c>
      <x:c r="F224" s="119" t="str">
        <x:v>Não há provedor externo, gestão de modelo/versão completa nem avaliação contínua de vieses, erros e impacto clínico.</x:v>
      </x:c>
      <x:c r="G224" s="119" t="str">
        <x:v>src/nutri_app/ui/pages/ai_assistant_page.py; src/nutri_app/services/ai_assistant.py; src/nutri_app/repositories/ai_assistant_repository.py; tests/test_ai_assistant.py</x:v>
      </x:c>
      <x:c r="H224" s="119" t="str">
        <x:v>Média</x:v>
      </x:c>
      <x:c r="I224" s="1"/>
      <x:c r="J224" s="1"/>
      <x:c r="K224" s="1"/>
    </x:row>
    <x:row r="225" ht="36" hidden="0" customHeight="1">
      <x:c r="A225" s="119" t="str">
        <x:v>P1</x:v>
      </x:c>
      <x:c r="B225" s="119" t="str">
        <x:v>RF-M30-04</x:v>
      </x:c>
      <x:c r="C225" s="119" t="str">
        <x:v>IA NUTRICIONAL ASSISTIVA</x:v>
      </x:c>
      <x:c r="D225" s="119" t="str">
        <x:v>Modo local por regras e provedor externo opcional, identificado ao usuário.</x:v>
      </x:c>
      <x:c r="E225" s="119" t="str">
        <x:v>Parcial</x:v>
      </x:c>
      <x:c r="F225" s="119" t="str">
        <x:v>Não há provedor externo, gestão de modelo/versão completa nem avaliação contínua de vieses, erros e impacto clínico.</x:v>
      </x:c>
      <x:c r="G225" s="119" t="str">
        <x:v>src/nutri_app/ui/pages/ai_assistant_page.py; src/nutri_app/services/ai_assistant.py; src/nutri_app/repositories/ai_assistant_repository.py; tests/test_ai_assistant.py</x:v>
      </x:c>
      <x:c r="H225" s="119" t="str">
        <x:v>Média</x:v>
      </x:c>
      <x:c r="I225" s="1"/>
      <x:c r="J225" s="1"/>
      <x:c r="K225" s="1"/>
    </x:row>
    <x:row r="226" ht="36" hidden="0" customHeight="1">
      <x:c r="A226" s="119" t="str">
        <x:v>P1</x:v>
      </x:c>
      <x:c r="B226" s="119" t="str">
        <x:v>RF-M30-05</x:v>
      </x:c>
      <x:c r="C226" s="119" t="str">
        <x:v>IA NUTRICIONAL ASSISTIVA</x:v>
      </x:c>
      <x:c r="D226" s="119" t="str">
        <x:v>Registro de solicitação, dados utilizados, resposta, modelo/versão, aceite, edição ou rejeição.</x:v>
      </x:c>
      <x:c r="E226" s="119" t="str">
        <x:v>Parcial</x:v>
      </x:c>
      <x:c r="F226" s="119" t="str">
        <x:v>Não há provedor externo, gestão de modelo/versão completa nem avaliação contínua de vieses, erros e impacto clínico.</x:v>
      </x:c>
      <x:c r="G226" s="119" t="str">
        <x:v>src/nutri_app/ui/pages/ai_assistant_page.py; src/nutri_app/services/ai_assistant.py; src/nutri_app/repositories/ai_assistant_repository.py; tests/test_ai_assistant.py</x:v>
      </x:c>
      <x:c r="H226" s="119" t="str">
        <x:v>Média</x:v>
      </x:c>
      <x:c r="I226" s="1"/>
      <x:c r="J226" s="1"/>
      <x:c r="K226" s="1"/>
    </x:row>
    <x:row r="227" ht="36" hidden="0" customHeight="1">
      <x:c r="A227" s="119" t="str">
        <x:v>P1</x:v>
      </x:c>
      <x:c r="B227" s="119" t="str">
        <x:v>RF-M30-06</x:v>
      </x:c>
      <x:c r="C227" s="119" t="str">
        <x:v>IA NUTRICIONAL ASSISTIVA</x:v>
      </x:c>
      <x:c r="D227" s="119" t="str">
        <x:v>Avaliação contínua de qualidade, segurança, vieses, erros e impacto clínico.</x:v>
      </x:c>
      <x:c r="E227" s="119" t="str">
        <x:v>Não identificado</x:v>
      </x:c>
      <x:c r="F227" s="119" t="str">
        <x:v>Não foi identificada evidência suficiente para este requisito. Não há provedor externo, gestão de modelo/versão completa nem avaliação contínua de vieses, erros e impacto clínico.</x:v>
      </x:c>
      <x:c r="G227" s="119" t="str">
        <x:v>src/nutri_app/ui/pages/ai_assistant_page.py; src/nutri_app/services/ai_assistant.py; src/nutri_app/repositories/ai_assistant_repository.py; tests/test_ai_assistant.py</x:v>
      </x:c>
      <x:c r="H227" s="119" t="str">
        <x:v>Média</x:v>
      </x:c>
      <x:c r="I227" s="1"/>
      <x:c r="J227" s="1"/>
      <x:c r="K227" s="1"/>
    </x:row>
    <x:row r="228" ht="36" hidden="0" customHeight="1">
      <x:c r="A228" s="119" t="str">
        <x:v>P1</x:v>
      </x:c>
      <x:c r="B228" s="119" t="str">
        <x:v>RF-M31-01</x:v>
      </x:c>
      <x:c r="C228" s="119" t="str">
        <x:v>AGENDA</x:v>
      </x:c>
      <x:c r="D228" s="119" t="str">
        <x:v>Visualização diária, semanal, mensal e em lista, com filtros por unidade, profissional, paciente e status.</x:v>
      </x:c>
      <x:c r="E228" s="119" t="str">
        <x:v>Parcial</x:v>
      </x:c>
      <x:c r="F228" s="119" t="str">
        <x:v>Faltam visões calendário diária/semanal/mensal, duração/local/modalidade/valor completos, recorrência, conflitos, espera, lembretes e calendário externo.</x:v>
      </x:c>
      <x:c r="G228" s="119" t="str">
        <x:v>src/nutri_app/ui/pages/appointments_page.py; src/nutri_app/repositories/appointment_repository.py; tests/test_appointment_repository.py</x:v>
      </x:c>
      <x:c r="H228" s="119" t="str">
        <x:v>Média</x:v>
      </x:c>
      <x:c r="I228" s="1"/>
      <x:c r="J228" s="1"/>
      <x:c r="K228" s="1"/>
    </x:row>
    <x:row r="229" ht="36" hidden="0" customHeight="1">
      <x:c r="A229" s="119" t="str">
        <x:v>P1</x:v>
      </x:c>
      <x:c r="B229" s="119" t="str">
        <x:v>RF-M31-02</x:v>
      </x:c>
      <x:c r="C229" s="119" t="str">
        <x:v>AGENDA</x:v>
      </x:c>
      <x:c r="D229" s="119" t="str">
        <x:v>Nova consulta/retorno com paciente existente, tipo, data, duração, local, modalidade, observações e valor.</x:v>
      </x:c>
      <x:c r="E229" s="119" t="str">
        <x:v>Parcial</x:v>
      </x:c>
      <x:c r="F229" s="119" t="str">
        <x:v>Faltam visões calendário diária/semanal/mensal, duração/local/modalidade/valor completos, recorrência, conflitos, espera, lembretes e calendário externo.</x:v>
      </x:c>
      <x:c r="G229" s="119" t="str">
        <x:v>src/nutri_app/ui/pages/appointments_page.py; src/nutri_app/repositories/appointment_repository.py; tests/test_appointment_repository.py</x:v>
      </x:c>
      <x:c r="H229" s="119" t="str">
        <x:v>Média</x:v>
      </x:c>
      <x:c r="I229" s="1"/>
      <x:c r="J229" s="1"/>
      <x:c r="K229" s="1"/>
    </x:row>
    <x:row r="230" ht="36" hidden="0" customHeight="1">
      <x:c r="A230" s="119" t="str">
        <x:v>P1</x:v>
      </x:c>
      <x:c r="B230" s="119" t="str">
        <x:v>RF-M31-03</x:v>
      </x:c>
      <x:c r="C230" s="119" t="str">
        <x:v>AGENDA</x:v>
      </x:c>
      <x:c r="D230" s="119" t="str">
        <x:v>Status agendado, confirmado, em atendimento, concluído, cancelado, remarcado e falta.</x:v>
      </x:c>
      <x:c r="E230" s="119" t="str">
        <x:v>Parcial</x:v>
      </x:c>
      <x:c r="F230" s="119" t="str">
        <x:v>Faltam visões calendário diária/semanal/mensal, duração/local/modalidade/valor completos, recorrência, conflitos, espera, lembretes e calendário externo.</x:v>
      </x:c>
      <x:c r="G230" s="119" t="str">
        <x:v>src/nutri_app/ui/pages/appointments_page.py; src/nutri_app/repositories/appointment_repository.py; tests/test_appointment_repository.py</x:v>
      </x:c>
      <x:c r="H230" s="119" t="str">
        <x:v>Média</x:v>
      </x:c>
      <x:c r="I230" s="1"/>
      <x:c r="J230" s="1"/>
      <x:c r="K230" s="1"/>
    </x:row>
    <x:row r="231" ht="36" hidden="0" customHeight="1">
      <x:c r="A231" s="119" t="str">
        <x:v>P1</x:v>
      </x:c>
      <x:c r="B231" s="119" t="str">
        <x:v>RF-M31-04</x:v>
      </x:c>
      <x:c r="C231" s="119" t="str">
        <x:v>AGENDA</x:v>
      </x:c>
      <x:c r="D231" s="119" t="str">
        <x:v>Recorrência, bloqueios de horário, intervalos, lista de espera e conflito de agenda.</x:v>
      </x:c>
      <x:c r="E231" s="119" t="str">
        <x:v>Parcial</x:v>
      </x:c>
      <x:c r="F231" s="119" t="str">
        <x:v>Faltam visões calendário diária/semanal/mensal, duração/local/modalidade/valor completos, recorrência, conflitos, espera, lembretes e calendário externo.</x:v>
      </x:c>
      <x:c r="G231" s="119" t="str">
        <x:v>src/nutri_app/ui/pages/appointments_page.py; src/nutri_app/repositories/appointment_repository.py; tests/test_appointment_repository.py</x:v>
      </x:c>
      <x:c r="H231" s="119" t="str">
        <x:v>Média</x:v>
      </x:c>
      <x:c r="I231" s="1"/>
      <x:c r="J231" s="1"/>
      <x:c r="K231" s="1"/>
    </x:row>
    <x:row r="232" ht="36" hidden="0" customHeight="1">
      <x:c r="A232" s="119" t="str">
        <x:v>P1</x:v>
      </x:c>
      <x:c r="B232" s="119" t="str">
        <x:v>RF-M31-05</x:v>
      </x:c>
      <x:c r="C232" s="119" t="str">
        <x:v>AGENDA</x:v>
      </x:c>
      <x:c r="D232" s="119" t="str">
        <x:v>Lembretes e confirmação por canais configurados, com consentimento e histórico de envio.</x:v>
      </x:c>
      <x:c r="E232" s="119" t="str">
        <x:v>Não identificado</x:v>
      </x:c>
      <x:c r="F232" s="119" t="str">
        <x:v>Não foi identificada evidência suficiente para este requisito. Faltam visões calendário diária/semanal/mensal, duração/local/modalidade/valor completos, recorrência, conflitos, espera, lembretes e calendário externo.</x:v>
      </x:c>
      <x:c r="G232" s="119" t="str">
        <x:v>src/nutri_app/ui/pages/appointments_page.py; src/nutri_app/repositories/appointment_repository.py; tests/test_appointment_repository.py</x:v>
      </x:c>
      <x:c r="H232" s="119" t="str">
        <x:v>Média</x:v>
      </x:c>
      <x:c r="I232" s="1"/>
      <x:c r="J232" s="1"/>
      <x:c r="K232" s="1"/>
    </x:row>
    <x:row r="233" ht="36" hidden="0" customHeight="1">
      <x:c r="A233" s="119" t="str">
        <x:v>P1</x:v>
      </x:c>
      <x:c r="B233" s="119" t="str">
        <x:v>RF-M31-06</x:v>
      </x:c>
      <x:c r="C233" s="119" t="str">
        <x:v>AGENDA</x:v>
      </x:c>
      <x:c r="D233" s="119" t="str">
        <x:v>Atalhos para prontuário, atendimento, evolução, recebimento e agendamento de retorno.</x:v>
      </x:c>
      <x:c r="E233" s="119" t="str">
        <x:v>Parcial</x:v>
      </x:c>
      <x:c r="F233" s="119" t="str">
        <x:v>Faltam visões calendário diária/semanal/mensal, duração/local/modalidade/valor completos, recorrência, conflitos, espera, lembretes e calendário externo.</x:v>
      </x:c>
      <x:c r="G233" s="119" t="str">
        <x:v>src/nutri_app/ui/pages/appointments_page.py; src/nutri_app/repositories/appointment_repository.py; tests/test_appointment_repository.py</x:v>
      </x:c>
      <x:c r="H233" s="119" t="str">
        <x:v>Média</x:v>
      </x:c>
      <x:c r="I233" s="1"/>
      <x:c r="J233" s="1"/>
      <x:c r="K233" s="1"/>
    </x:row>
    <x:row r="234" ht="36" hidden="0" customHeight="1">
      <x:c r="A234" s="119" t="str">
        <x:v>P1</x:v>
      </x:c>
      <x:c r="B234" s="119" t="str">
        <x:v>RF-M31-07</x:v>
      </x:c>
      <x:c r="C234" s="119" t="str">
        <x:v>AGENDA</x:v>
      </x:c>
      <x:c r="D234" s="119" t="str">
        <x:v>Sincronização opcional com calendários externos e tratamento de conflitos.</x:v>
      </x:c>
      <x:c r="E234" s="119" t="str">
        <x:v>Parcial</x:v>
      </x:c>
      <x:c r="F234" s="119" t="str">
        <x:v>Faltam visões calendário diária/semanal/mensal, duração/local/modalidade/valor completos, recorrência, conflitos, espera, lembretes e calendário externo.</x:v>
      </x:c>
      <x:c r="G234" s="119" t="str">
        <x:v>src/nutri_app/ui/pages/appointments_page.py; src/nutri_app/repositories/appointment_repository.py; tests/test_appointment_repository.py</x:v>
      </x:c>
      <x:c r="H234" s="119" t="str">
        <x:v>Média</x:v>
      </x:c>
      <x:c r="I234" s="1"/>
      <x:c r="J234" s="1"/>
      <x:c r="K234" s="1"/>
    </x:row>
    <x:row r="235" ht="36" hidden="0" customHeight="1">
      <x:c r="A235" s="119" t="str">
        <x:v>P1</x:v>
      </x:c>
      <x:c r="B235" s="119" t="str">
        <x:v>RF-M32-02</x:v>
      </x:c>
      <x:c r="C235" s="119" t="str">
        <x:v>FINANCEIRO</x:v>
      </x:c>
      <x:c r="D235" s="119" t="str">
        <x:v>Vínculo opcional com paciente, consulta, profissional, pacote, assinatura e serviço.</x:v>
      </x:c>
      <x:c r="E235" s="119" t="str">
        <x:v>Parcial</x:v>
      </x:c>
      <x:c r="F235" s="119" t="str">
        <x:v>Faltam centro/competência separados, profissional/serviço/pacotes/assinaturas/parcelas, conciliação, exportação e comprovantes.</x:v>
      </x:c>
      <x:c r="G235" s="119" t="str">
        <x:v>src/nutri_app/ui/pages/finance_page.py; src/nutri_app/repositories/finance_repository.py; src/nutri_app/services/finance.py; tests/test_finance.py</x:v>
      </x:c>
      <x:c r="H235" s="119" t="str">
        <x:v>Média</x:v>
      </x:c>
      <x:c r="I235" s="1"/>
      <x:c r="J235" s="1"/>
      <x:c r="K235" s="1"/>
    </x:row>
    <x:row r="236" ht="36" hidden="0" customHeight="1">
      <x:c r="A236" s="119" t="str">
        <x:v>P1</x:v>
      </x:c>
      <x:c r="B236" s="119" t="str">
        <x:v>RF-M32-03</x:v>
      </x:c>
      <x:c r="C236" s="119" t="str">
        <x:v>FINANCEIRO</x:v>
      </x:c>
      <x:c r="D236" s="119" t="str">
        <x:v>Status pendente, recebido, vencido, cancelado, estornado e conciliado.</x:v>
      </x:c>
      <x:c r="E236" s="119" t="str">
        <x:v>Parcial</x:v>
      </x:c>
      <x:c r="F236" s="119" t="str">
        <x:v>Faltam centro/competência separados, profissional/serviço/pacotes/assinaturas/parcelas, conciliação, exportação e comprovantes.</x:v>
      </x:c>
      <x:c r="G236" s="119" t="str">
        <x:v>src/nutri_app/ui/pages/finance_page.py; src/nutri_app/repositories/finance_repository.py; src/nutri_app/services/finance.py; tests/test_finance.py</x:v>
      </x:c>
      <x:c r="H236" s="119" t="str">
        <x:v>Média</x:v>
      </x:c>
      <x:c r="I236" s="1"/>
      <x:c r="J236" s="1"/>
      <x:c r="K236" s="1"/>
    </x:row>
    <x:row r="237" ht="36" hidden="0" customHeight="1">
      <x:c r="A237" s="119" t="str">
        <x:v>P1</x:v>
      </x:c>
      <x:c r="B237" s="119" t="str">
        <x:v>RF-M32-04</x:v>
      </x:c>
      <x:c r="C237" s="119" t="str">
        <x:v>FINANCEIRO</x:v>
      </x:c>
      <x:c r="D237" s="119" t="str">
        <x:v>Formas dinheiro, PIX, cartão, boleto, transferência e integrações configuradas.</x:v>
      </x:c>
      <x:c r="E237" s="119" t="str">
        <x:v>Parcial</x:v>
      </x:c>
      <x:c r="F237" s="119" t="str">
        <x:v>Faltam centro/competência separados, profissional/serviço/pacotes/assinaturas/parcelas, conciliação, exportação e comprovantes.</x:v>
      </x:c>
      <x:c r="G237" s="119" t="str">
        <x:v>src/nutri_app/ui/pages/finance_page.py; src/nutri_app/repositories/finance_repository.py; src/nutri_app/services/finance.py; tests/test_finance.py</x:v>
      </x:c>
      <x:c r="H237" s="119" t="str">
        <x:v>Média</x:v>
      </x:c>
      <x:c r="I237" s="1"/>
      <x:c r="J237" s="1"/>
      <x:c r="K237" s="1"/>
    </x:row>
    <x:row r="238" ht="36" hidden="0" customHeight="1">
      <x:c r="A238" s="119" t="str">
        <x:v>P1</x:v>
      </x:c>
      <x:c r="B238" s="119" t="str">
        <x:v>RF-M32-05</x:v>
      </x:c>
      <x:c r="C238" s="119" t="str">
        <x:v>FINANCEIRO</x:v>
      </x:c>
      <x:c r="D238" s="119" t="str">
        <x:v>Pacotes, créditos, recorrência, assinaturas, parcelas, descontos e inadimplência.</x:v>
      </x:c>
      <x:c r="E238" s="119" t="str">
        <x:v>Parcial</x:v>
      </x:c>
      <x:c r="F238" s="119" t="str">
        <x:v>Faltam centro/competência separados, profissional/serviço/pacotes/assinaturas/parcelas, conciliação, exportação e comprovantes.</x:v>
      </x:c>
      <x:c r="G238" s="119" t="str">
        <x:v>src/nutri_app/ui/pages/finance_page.py; src/nutri_app/repositories/finance_repository.py; src/nutri_app/services/finance.py; tests/test_finance.py</x:v>
      </x:c>
      <x:c r="H238" s="119" t="str">
        <x:v>Média</x:v>
      </x:c>
      <x:c r="I238" s="1"/>
      <x:c r="J238" s="1"/>
      <x:c r="K238" s="1"/>
    </x:row>
    <x:row r="239" ht="36" hidden="0" customHeight="1">
      <x:c r="A239" s="119" t="str">
        <x:v>P1</x:v>
      </x:c>
      <x:c r="B239" s="119" t="str">
        <x:v>RF-M32-06</x:v>
      </x:c>
      <x:c r="C239" s="119" t="str">
        <x:v>FINANCEIRO</x:v>
      </x:c>
      <x:c r="D239" s="119" t="str">
        <x:v>Cards, fluxo de caixa, contas a receber, relatórios, exportação e comprovantes.</x:v>
      </x:c>
      <x:c r="E239" s="119" t="str">
        <x:v>Parcial</x:v>
      </x:c>
      <x:c r="F239" s="119" t="str">
        <x:v>Faltam centro/competência separados, profissional/serviço/pacotes/assinaturas/parcelas, conciliação, exportação e comprovantes.</x:v>
      </x:c>
      <x:c r="G239" s="119" t="str">
        <x:v>src/nutri_app/ui/pages/finance_page.py; src/nutri_app/repositories/finance_repository.py; src/nutri_app/services/finance.py; tests/test_finance.py</x:v>
      </x:c>
      <x:c r="H239" s="119" t="str">
        <x:v>Média</x:v>
      </x:c>
      <x:c r="I239" s="1"/>
      <x:c r="J239" s="1"/>
      <x:c r="K239" s="1"/>
    </x:row>
    <x:row r="240" ht="36" hidden="0" customHeight="1">
      <x:c r="A240" s="119" t="str">
        <x:v>P1</x:v>
      </x:c>
      <x:c r="B240" s="119" t="str">
        <x:v>RN-M01-02</x:v>
      </x:c>
      <x:c r="C240" s="119" t="str">
        <x:v>DASHBOARD (CENTRO DE COMANDO)</x:v>
      </x:c>
      <x:c r="D240" s="119" t="str">
        <x:v>A visualização deve respeitar unidade, perfil e permissões do usuário autenticado.</x:v>
      </x:c>
      <x:c r="E240" s="119" t="str">
        <x:v>Parcial</x:v>
      </x:c>
      <x:c r="F240" s="119" t="str">
        <x:v>Faltam filtros por unidade/ala/profissional/período, atalhos clínicos e cartões plenamente clicáveis.</x:v>
      </x:c>
      <x:c r="G240" s="119" t="str">
        <x:v>src/nutri_app/ui/pages/dashboard_page.py; src/nutri_app/repositories/dashboard_repository.py; tests/test_dashboard_repository.py</x:v>
      </x:c>
      <x:c r="H240" s="119" t="str">
        <x:v>Média</x:v>
      </x:c>
      <x:c r="I240" s="1"/>
      <x:c r="J240" s="1"/>
      <x:c r="K240" s="1"/>
    </x:row>
    <x:row r="241" ht="24" hidden="0" customHeight="1">
      <x:c r="A241" s="119" t="str">
        <x:v>P1</x:v>
      </x:c>
      <x:c r="B241" s="119" t="str">
        <x:v>RN-M03-01</x:v>
      </x:c>
      <x:c r="C241" s="119" t="str">
        <x:v>AVALIAÇÃO NUTRICIONAL (CENTRAL AGRUPADORA)</x:v>
      </x:c>
      <x:c r="D241" s="119" t="str">
        <x:v>Os módulos compartilham identificadores e dados por referência; não devem manter cópias clínicas divergentes.</x:v>
      </x:c>
      <x:c r="E241" s="119" t="str">
        <x:v>Parcial</x:v>
      </x:c>
      <x:c r="F241" s="119" t="str">
        <x:v>Não há central única de avaliação com cards, progresso, rascunho automático, finalização, assinatura, versão e adendo.</x:v>
      </x:c>
      <x:c r="G241" s="119" t="str">
        <x:v>src/nutri_app/ui/main_window.py; database/schema.sql</x:v>
      </x:c>
      <x:c r="H241" s="119" t="str">
        <x:v>Média</x:v>
      </x:c>
      <x:c r="I241" s="1"/>
      <x:c r="J241" s="1"/>
      <x:c r="K241" s="1"/>
    </x:row>
    <x:row r="242" ht="24" hidden="0" customHeight="1">
      <x:c r="A242" s="119" t="str">
        <x:v>P1</x:v>
      </x:c>
      <x:c r="B242" s="119" t="str">
        <x:v>RN-M03-02</x:v>
      </x:c>
      <x:c r="C242" s="119" t="str">
        <x:v>AVALIAÇÃO NUTRICIONAL (CENTRAL AGRUPADORA)</x:v>
      </x:c>
      <x:c r="D242" s="119" t="str">
        <x:v>A finalização não impede adendo posterior, mas toda alteração deve ser versionada e auditada.</x:v>
      </x:c>
      <x:c r="E242" s="119" t="str">
        <x:v>Não identificado</x:v>
      </x:c>
      <x:c r="F242" s="119" t="str">
        <x:v>Não foi identificada evidência suficiente para este requisito. Não há central única de avaliação com cards, progresso, rascunho automático, finalização, assinatura, versão e adendo.</x:v>
      </x:c>
      <x:c r="G242" s="119" t="str">
        <x:v>src/nutri_app/ui/main_window.py; database/schema.sql</x:v>
      </x:c>
      <x:c r="H242" s="119" t="str">
        <x:v>Média</x:v>
      </x:c>
      <x:c r="I242" s="1"/>
      <x:c r="J242" s="1"/>
      <x:c r="K242" s="1"/>
    </x:row>
    <x:row r="243" ht="24" hidden="0" customHeight="1">
      <x:c r="A243" s="119" t="str">
        <x:v>P1</x:v>
      </x:c>
      <x:c r="B243" s="119" t="str">
        <x:v>RN-M08-01</x:v>
      </x:c>
      <x:c r="C243" s="119" t="str">
        <x:v>AVALIAÇÃO DIETÉTICA</x:v>
      </x:c>
      <x:c r="D243" s="119" t="str">
        <x:v>O módulo descreve hábitos e qualidade; quantificação detalhada pertence ao Recordatório Alimentar.</x:v>
      </x:c>
      <x:c r="E243" s="119" t="str">
        <x:v>Parcial</x:v>
      </x:c>
      <x:c r="F243" s="119" t="str">
        <x:v>Não há módulo dietético próprio com frequência por grupos, aceitação hospitalar e resumo qualitativo estruturado.</x:v>
      </x:c>
      <x:c r="G243" s="119" t="str">
        <x:v>src/nutri_app/ui/anamnesis_form.py; database/schema.sql</x:v>
      </x:c>
      <x:c r="H243" s="119" t="str">
        <x:v>Média</x:v>
      </x:c>
      <x:c r="I243" s="1"/>
      <x:c r="J243" s="1"/>
      <x:c r="K243" s="1"/>
    </x:row>
    <x:row r="244" ht="24" hidden="0" customHeight="1">
      <x:c r="A244" s="119" t="str">
        <x:v>P1</x:v>
      </x:c>
      <x:c r="B244" s="119" t="str">
        <x:v>RN-M08-02</x:v>
      </x:c>
      <x:c r="C244" s="119" t="str">
        <x:v>AVALIAÇÃO DIETÉTICA</x:v>
      </x:c>
      <x:c r="D244" s="119" t="str">
        <x:v>Campos repetidos da anamnese devem ser exibidos por vínculo e não recadastrados.</x:v>
      </x:c>
      <x:c r="E244" s="119" t="str">
        <x:v>Parcial</x:v>
      </x:c>
      <x:c r="F244" s="119" t="str">
        <x:v>Não há módulo dietético próprio com frequência por grupos, aceitação hospitalar e resumo qualitativo estruturado.</x:v>
      </x:c>
      <x:c r="G244" s="119" t="str">
        <x:v>src/nutri_app/ui/anamnesis_form.py; database/schema.sql</x:v>
      </x:c>
      <x:c r="H244" s="119" t="str">
        <x:v>Média</x:v>
      </x:c>
      <x:c r="I244" s="1"/>
      <x:c r="J244" s="1"/>
      <x:c r="K244" s="1"/>
    </x:row>
    <x:row r="245" ht="24" hidden="0" customHeight="1">
      <x:c r="A245" s="119" t="str">
        <x:v>P1</x:v>
      </x:c>
      <x:c r="B245" s="119" t="str">
        <x:v>RN-M09-01</x:v>
      </x:c>
      <x:c r="C245" s="119" t="str">
        <x:v>RECORDATÓRIO ALIMENTAR</x:v>
      </x:c>
      <x:c r="D245" s="119" t="str">
        <x:v>O cálculo deve utilizar uma única composição versionada do Banco de Alimentos.</x:v>
      </x:c>
      <x:c r="E245" s="119" t="str">
        <x:v>Não identificado</x:v>
      </x:c>
      <x:c r="F245" s="119" t="str">
        <x:v>Não foi identificada evidência suficiente para este requisito. Não foi identificado recordatório alimentar de 24/48/72 h, consumo efetivo, sobras, sintomas e comparação com metas.</x:v>
      </x:c>
      <x:c r="G245" s="119" t="str">
        <x:v>src/nutri_app/ui/main_window.py; database/schema.sql</x:v>
      </x:c>
      <x:c r="H245" s="119" t="str">
        <x:v>Média</x:v>
      </x:c>
      <x:c r="I245" s="1"/>
      <x:c r="J245" s="1"/>
      <x:c r="K245" s="1"/>
    </x:row>
    <x:row r="246" ht="24" hidden="0" customHeight="1">
      <x:c r="A246" s="119" t="str">
        <x:v>P1</x:v>
      </x:c>
      <x:c r="B246" s="119" t="str">
        <x:v>RN-M09-02</x:v>
      </x:c>
      <x:c r="C246" s="119" t="str">
        <x:v>RECORDATÓRIO ALIMENTAR</x:v>
      </x:c>
      <x:c r="D246" s="119" t="str">
        <x:v>Alimentos não encontrados podem ser cadastrados, mas exigem fonte e revisão antes de uso compartilhado.</x:v>
      </x:c>
      <x:c r="E246" s="119" t="str">
        <x:v>Parcial</x:v>
      </x:c>
      <x:c r="F246" s="119" t="str">
        <x:v>Não foi identificado recordatório alimentar de 24/48/72 h, consumo efetivo, sobras, sintomas e comparação com metas.</x:v>
      </x:c>
      <x:c r="G246" s="119" t="str">
        <x:v>src/nutri_app/ui/main_window.py; database/schema.sql</x:v>
      </x:c>
      <x:c r="H246" s="119" t="str">
        <x:v>Média</x:v>
      </x:c>
      <x:c r="I246" s="1"/>
      <x:c r="J246" s="1"/>
      <x:c r="K246" s="1"/>
    </x:row>
    <x:row r="247" ht="36" hidden="0" customHeight="1">
      <x:c r="A247" s="119" t="str">
        <x:v>P1</x:v>
      </x:c>
      <x:c r="B247" s="119" t="str">
        <x:v>RN-M14-01</x:v>
      </x:c>
      <x:c r="C247" s="119" t="str">
        <x:v>PLANO ALIMENTAR</x:v>
      </x:c>
      <x:c r="D247" s="119" t="str">
        <x:v>Usar exclusivamente itens versionados do Banco de Alimentos e Receitas.</x:v>
      </x:c>
      <x:c r="E247" s="119" t="str">
        <x:v>Parcial</x:v>
      </x:c>
      <x:c r="F247" s="119" t="str">
        <x:v>Faltam micronutrientes completos, equivalências seguras, lista de compras/PDF própria, versionamento e importação formal de dietas prontas.</x:v>
      </x:c>
      <x:c r="G247" s="119" t="str">
        <x:v>src/nutri_app/ui/pages/meal_plan_page.py; src/nutri_app/repositories/meal_plan_repository.py; src/nutri_app/services/meal_plan.py; tests/test_meal_plan.py</x:v>
      </x:c>
      <x:c r="H247" s="119" t="str">
        <x:v>Média</x:v>
      </x:c>
      <x:c r="I247" s="1"/>
      <x:c r="J247" s="1"/>
      <x:c r="K247" s="1"/>
    </x:row>
    <x:row r="248" ht="36" hidden="0" customHeight="1">
      <x:c r="A248" s="119" t="str">
        <x:v>P1</x:v>
      </x:c>
      <x:c r="B248" s="119" t="str">
        <x:v>RN-M16-01</x:v>
      </x:c>
      <x:c r="C248" s="119" t="str">
        <x:v>BANCO DE ALIMENTOS</x:v>
      </x:c>
      <x:c r="D248" s="119" t="str">
        <x:v>Cada valor deve manter fonte, versão, licença, unidade e data de importação.</x:v>
      </x:c>
      <x:c r="E248" s="119" t="str">
        <x:v>Parcial</x:v>
      </x:c>
      <x:c r="F248" s="119" t="str">
        <x:v>Faltam integração governada com bases oficiais, licença/versão/data por valor, conflitos, sinônimos/marca e composição lipídica detalhada.</x:v>
      </x:c>
      <x:c r="G248" s="119" t="str">
        <x:v>src/nutri_app/ui/pages/food_database_page.py; src/nutri_app/repositories/food_repository.py; src/nutri_app/services/food.py; tests/test_food_database.py</x:v>
      </x:c>
      <x:c r="H248" s="119" t="str">
        <x:v>Média</x:v>
      </x:c>
      <x:c r="I248" s="1"/>
      <x:c r="J248" s="1"/>
      <x:c r="K248" s="1"/>
    </x:row>
    <x:row r="249" ht="36" hidden="0" customHeight="1">
      <x:c r="A249" s="119" t="str">
        <x:v>P1</x:v>
      </x:c>
      <x:c r="B249" s="119" t="str">
        <x:v>RN-M16-02</x:v>
      </x:c>
      <x:c r="C249" s="119" t="str">
        <x:v>BANCO DE ALIMENTOS</x:v>
      </x:c>
      <x:c r="D249" s="119" t="str">
        <x:v>Receitas, recordatórios e planos consultam esta base; não devem criar tabelas nutricionais paralelas.</x:v>
      </x:c>
      <x:c r="E249" s="119" t="str">
        <x:v>Parcial</x:v>
      </x:c>
      <x:c r="F249" s="119" t="str">
        <x:v>Faltam integração governada com bases oficiais, licença/versão/data por valor, conflitos, sinônimos/marca e composição lipídica detalhada.</x:v>
      </x:c>
      <x:c r="G249" s="119" t="str">
        <x:v>src/nutri_app/ui/pages/food_database_page.py; src/nutri_app/repositories/food_repository.py; src/nutri_app/services/food.py; tests/test_food_database.py</x:v>
      </x:c>
      <x:c r="H249" s="119" t="str">
        <x:v>Média</x:v>
      </x:c>
      <x:c r="I249" s="1"/>
      <x:c r="J249" s="1"/>
      <x:c r="K249" s="1"/>
    </x:row>
    <x:row r="250" ht="24" hidden="0" customHeight="1">
      <x:c r="A250" s="119" t="str">
        <x:v>P1</x:v>
      </x:c>
      <x:c r="B250" s="119" t="str">
        <x:v>RN-M23-01</x:v>
      </x:c>
      <x:c r="C250" s="119" t="str">
        <x:v>COMPARATIVO DE AVALIAÇÕES</x:v>
      </x:c>
      <x:c r="D250" s="119" t="str">
        <x:v>Não comparar valores incompatíveis sem conversão validada ou aviso explícito de método/unidade.</x:v>
      </x:c>
      <x:c r="E250" s="119" t="str">
        <x:v>Parcial</x:v>
      </x:c>
      <x:c r="F250" s="119" t="str">
        <x:v>Faltam seleção simultânea de avaliações/séries, variações absolutas/percentuais, eventos sobrepostos e navegação à origem.</x:v>
      </x:c>
      <x:c r="G250" s="119" t="str">
        <x:v>src/nutri_app/ui/pages/dashboard_page.py; src/nutri_app/repositories/dashboard_repository.py</x:v>
      </x:c>
      <x:c r="H250" s="119" t="str">
        <x:v>Média</x:v>
      </x:c>
      <x:c r="I250" s="1"/>
      <x:c r="J250" s="1"/>
      <x:c r="K250" s="1"/>
    </x:row>
    <x:row r="251" ht="36" hidden="0" customHeight="1">
      <x:c r="A251" s="119" t="str">
        <x:v>P1</x:v>
      </x:c>
      <x:c r="B251" s="119" t="str">
        <x:v>RN-M24-02</x:v>
      </x:c>
      <x:c r="C251" s="119" t="str">
        <x:v>RELATÓRIOS</x:v>
      </x:c>
      <x:c r="D251" s="119" t="str">
        <x:v>Assinatura digital e certificado são opcionais conforme configuração e requisito legal.</x:v>
      </x:c>
      <x:c r="E251" s="119" t="str">
        <x:v>Não identificado</x:v>
      </x:c>
      <x:c r="F251" s="119" t="str">
        <x:v>Não foi identificada evidência suficiente para este requisito. Faltam modelos institucionais completos, CRN/assinatura, hash/versão/finalidade, mascaramento por consentimento e exportações estruturadas.</x:v>
      </x:c>
      <x:c r="G251" s="119" t="str">
        <x:v>src/nutri_app/ui/pages/reports_page.py; src/nutri_app/services/report.py; src/nutri_app/repositories/report_repository.py; tests/test_reports.py</x:v>
      </x:c>
      <x:c r="H251" s="119" t="str">
        <x:v>Média</x:v>
      </x:c>
      <x:c r="I251" s="1"/>
      <x:c r="J251" s="1"/>
      <x:c r="K251" s="1"/>
    </x:row>
    <x:row r="252" ht="24" hidden="0" customHeight="1">
      <x:c r="A252" s="119" t="str">
        <x:v>P1</x:v>
      </x:c>
      <x:c r="B252" s="119" t="str">
        <x:v>RN-M25-01</x:v>
      </x:c>
      <x:c r="C252" s="119" t="str">
        <x:v>ORIENTAÇÕES NUTRICIONAIS</x:v>
      </x:c>
      <x:c r="D252" s="119" t="str">
        <x:v>Conteúdo educacional não substitui prescrição individual e exige revisão profissional.</x:v>
      </x:c>
      <x:c r="E252" s="119" t="str">
        <x:v>Parcial</x:v>
      </x:c>
      <x:c r="F252" s="119" t="str">
        <x:v>Falta biblioteca/editor de orientações, modelos, imagens autorizadas, revisão clínica, versão, validade e comprovante de leitura.</x:v>
      </x:c>
      <x:c r="G252" s="119" t="str">
        <x:v>src/nutri_app/ui/pages/patient_app_page.py; src/nutri_app/repositories/patient_app_repository.py</x:v>
      </x:c>
      <x:c r="H252" s="119" t="str">
        <x:v>Média</x:v>
      </x:c>
      <x:c r="I252" s="1"/>
      <x:c r="J252" s="1"/>
      <x:c r="K252" s="1"/>
    </x:row>
    <x:row r="253" ht="24" hidden="0" customHeight="1">
      <x:c r="A253" s="119" t="str">
        <x:v>P1</x:v>
      </x:c>
      <x:c r="B253" s="119" t="str">
        <x:v>RN-M25-02</x:v>
      </x:c>
      <x:c r="C253" s="119" t="str">
        <x:v>ORIENTAÇÕES NUTRICIONAIS</x:v>
      </x:c>
      <x:c r="D253" s="119" t="str">
        <x:v>Materiais entregues devem permanecer vinculados ao prontuário e à versão utilizada.</x:v>
      </x:c>
      <x:c r="E253" s="119" t="str">
        <x:v>Parcial</x:v>
      </x:c>
      <x:c r="F253" s="119" t="str">
        <x:v>Falta biblioteca/editor de orientações, modelos, imagens autorizadas, revisão clínica, versão, validade e comprovante de leitura.</x:v>
      </x:c>
      <x:c r="G253" s="119" t="str">
        <x:v>src/nutri_app/ui/pages/patient_app_page.py; src/nutri_app/repositories/patient_app_repository.py</x:v>
      </x:c>
      <x:c r="H253" s="119" t="str">
        <x:v>Média</x:v>
      </x:c>
      <x:c r="I253" s="1"/>
      <x:c r="J253" s="1"/>
      <x:c r="K253" s="1"/>
    </x:row>
    <x:row r="254" ht="24" hidden="0" customHeight="1">
      <x:c r="A254" s="119" t="str">
        <x:v>P1</x:v>
      </x:c>
      <x:c r="B254" s="119" t="str">
        <x:v>RN-M27-01</x:v>
      </x:c>
      <x:c r="C254" s="119" t="str">
        <x:v>INDICADORES</x:v>
      </x:c>
      <x:c r="D254" s="119" t="str">
        <x:v>Todo indicador deve permitir rastrear numerador, denominador, exclusões e registros de origem.</x:v>
      </x:c>
      <x:c r="E254" s="119" t="str">
        <x:v>Parcial</x:v>
      </x:c>
      <x:c r="F254" s="119" t="str">
        <x:v>Faltam catálogo de indicadores, fórmulas auditáveis, filtros amplos, metas e indicadores TNE/TNP/produtividade/qualidade.</x:v>
      </x:c>
      <x:c r="G254" s="119" t="str">
        <x:v>src/nutri_app/repositories/dashboard_repository.py; src/nutri_app/ui/pages/dashboard_page.py</x:v>
      </x:c>
      <x:c r="H254" s="119" t="str">
        <x:v>Média</x:v>
      </x:c>
      <x:c r="I254" s="1"/>
      <x:c r="J254" s="1"/>
      <x:c r="K254" s="1"/>
    </x:row>
    <x:row r="255" ht="36" hidden="0" customHeight="1">
      <x:c r="A255" s="119" t="str">
        <x:v>P1</x:v>
      </x:c>
      <x:c r="B255" s="119" t="str">
        <x:v>RN-M30-01</x:v>
      </x:c>
      <x:c r="C255" s="119" t="str">
        <x:v>IA NUTRICIONAL ASSISTIVA</x:v>
      </x:c>
      <x:c r="D255" s="119" t="str">
        <x:v>Uso externo exige consentimento, minimização/anonimização, contrato e configuração segura de credenciais.</x:v>
      </x:c>
      <x:c r="E255" s="119" t="str">
        <x:v>Parcial</x:v>
      </x:c>
      <x:c r="F255" s="119" t="str">
        <x:v>Não há provedor externo, gestão de modelo/versão completa nem avaliação contínua de vieses, erros e impacto clínico.</x:v>
      </x:c>
      <x:c r="G255" s="119" t="str">
        <x:v>src/nutri_app/ui/pages/ai_assistant_page.py; src/nutri_app/services/ai_assistant.py; src/nutri_app/repositories/ai_assistant_repository.py; tests/test_ai_assistant.py</x:v>
      </x:c>
      <x:c r="H255" s="119" t="str">
        <x:v>Média</x:v>
      </x:c>
      <x:c r="I255" s="1"/>
      <x:c r="J255" s="1"/>
      <x:c r="K255" s="1"/>
    </x:row>
    <x:row r="256" ht="36" hidden="0" customHeight="1">
      <x:c r="A256" s="119" t="str">
        <x:v>P1</x:v>
      </x:c>
      <x:c r="B256" s="119" t="str">
        <x:v>RN-M31-01</x:v>
      </x:c>
      <x:c r="C256" s="119" t="str">
        <x:v>AGENDA</x:v>
      </x:c>
      <x:c r="D256" s="119" t="str">
        <x:v>Não duplicar cadastro de paciente nem expor informação clínica em mensagens de agenda.</x:v>
      </x:c>
      <x:c r="E256" s="119" t="str">
        <x:v>Parcial</x:v>
      </x:c>
      <x:c r="F256" s="119" t="str">
        <x:v>Faltam visões calendário diária/semanal/mensal, duração/local/modalidade/valor completos, recorrência, conflitos, espera, lembretes e calendário externo.</x:v>
      </x:c>
      <x:c r="G256" s="119" t="str">
        <x:v>src/nutri_app/ui/pages/appointments_page.py; src/nutri_app/repositories/appointment_repository.py; tests/test_appointment_repository.py</x:v>
      </x:c>
      <x:c r="H256" s="119" t="str">
        <x:v>Média</x:v>
      </x:c>
      <x:c r="I256" s="1"/>
      <x:c r="J256" s="1"/>
      <x:c r="K256" s="1"/>
    </x:row>
    <x:row r="257" ht="36" hidden="0" customHeight="1">
      <x:c r="A257" s="119" t="str">
        <x:v>P1</x:v>
      </x:c>
      <x:c r="B257" s="119" t="str">
        <x:v>RN-M31-02</x:v>
      </x:c>
      <x:c r="C257" s="119" t="str">
        <x:v>AGENDA</x:v>
      </x:c>
      <x:c r="D257" s="119" t="str">
        <x:v>Toda alteração de horário/status deve preservar autoria e histórico.</x:v>
      </x:c>
      <x:c r="E257" s="119" t="str">
        <x:v>Parcial</x:v>
      </x:c>
      <x:c r="F257" s="119" t="str">
        <x:v>Faltam visões calendário diária/semanal/mensal, duração/local/modalidade/valor completos, recorrência, conflitos, espera, lembretes e calendário externo.</x:v>
      </x:c>
      <x:c r="G257" s="119" t="str">
        <x:v>src/nutri_app/ui/pages/appointments_page.py; src/nutri_app/repositories/appointment_repository.py; tests/test_appointment_repository.py</x:v>
      </x:c>
      <x:c r="H257" s="119" t="str">
        <x:v>Média</x:v>
      </x:c>
      <x:c r="I257" s="1"/>
      <x:c r="J257" s="1"/>
      <x:c r="K257" s="1"/>
    </x:row>
    <x:row r="258" ht="36" hidden="0" customHeight="1">
      <x:c r="A258" s="119" t="str">
        <x:v>P1</x:v>
      </x:c>
      <x:c r="B258" s="119" t="str">
        <x:v>RN-M32-02</x:v>
      </x:c>
      <x:c r="C258" s="119" t="str">
        <x:v>FINANCEIRO</x:v>
      </x:c>
      <x:c r="D258" s="119" t="str">
        <x:v>Estorno e exclusão de lançamento devem ser auditados e não apagar histórico de recebimento.</x:v>
      </x:c>
      <x:c r="E258" s="119" t="str">
        <x:v>Parcial</x:v>
      </x:c>
      <x:c r="F258" s="119" t="str">
        <x:v>Faltam centro/competência separados, profissional/serviço/pacotes/assinaturas/parcelas, conciliação, exportação e comprovantes.</x:v>
      </x:c>
      <x:c r="G258" s="119" t="str">
        <x:v>src/nutri_app/ui/pages/finance_page.py; src/nutri_app/repositories/finance_repository.py; src/nutri_app/services/finance.py; tests/test_finance.py</x:v>
      </x:c>
      <x:c r="H258" s="119" t="str">
        <x:v>Média</x:v>
      </x:c>
      <x:c r="I258" s="1"/>
      <x:c r="J258" s="1"/>
      <x:c r="K258" s="1"/>
    </x:row>
    <x:row r="259" ht="24" hidden="0" customHeight="1">
      <x:c r="A259" s="119" t="str">
        <x:v>P2</x:v>
      </x:c>
      <x:c r="B259" s="119" t="str">
        <x:v>RF-M15-01</x:v>
      </x:c>
      <x:c r="C259" s="119" t="str">
        <x:v>DIETAS PRONTAS</x:v>
      </x:c>
      <x:c r="D259" s="119" t="str">
        <x:v>Cadastro de nome, categoria, indicação, consistência, composição, fracionamento, restrições e observações.</x:v>
      </x:c>
      <x:c r="E259" s="119" t="str">
        <x:v>Não identificado</x:v>
      </x:c>
      <x:c r="F259" s="119" t="str">
        <x:v>Não foi identificada evidência suficiente para este requisito. Implementar biblioteca versionada de modelos de dieta, filtros, autoria, aplicação individualizada e manual institucional.</x:v>
      </x:c>
      <x:c r="G259" s="119" t="str">
        <x:v>src/nutri_app/ui/main_window.py; database/schema.sql</x:v>
      </x:c>
      <x:c r="H259" s="119" t="str">
        <x:v>Média</x:v>
      </x:c>
      <x:c r="I259" s="1"/>
      <x:c r="J259" s="1"/>
      <x:c r="K259" s="1"/>
    </x:row>
    <x:row r="260" ht="24" hidden="0" customHeight="1">
      <x:c r="A260" s="119" t="str">
        <x:v>P2</x:v>
      </x:c>
      <x:c r="B260" s="119" t="str">
        <x:v>RF-M15-02</x:v>
      </x:c>
      <x:c r="C260" s="119" t="str">
        <x:v>DIETAS PRONTAS</x:v>
      </x:c>
      <x:c r="D260" s="119" t="str">
        <x:v>Modelo de refeições com alimentos, preparações, porções e estimativa nutricional.</x:v>
      </x:c>
      <x:c r="E260" s="119" t="str">
        <x:v>Não identificado</x:v>
      </x:c>
      <x:c r="F260" s="119" t="str">
        <x:v>Não foi identificada evidência suficiente para este requisito. Implementar biblioteca versionada de modelos de dieta, filtros, autoria, aplicação individualizada e manual institucional.</x:v>
      </x:c>
      <x:c r="G260" s="119" t="str">
        <x:v>src/nutri_app/ui/main_window.py; database/schema.sql</x:v>
      </x:c>
      <x:c r="H260" s="119" t="str">
        <x:v>Média</x:v>
      </x:c>
      <x:c r="I260" s="1"/>
      <x:c r="J260" s="1"/>
      <x:c r="K260" s="1"/>
    </x:row>
    <x:row r="261" ht="24" hidden="0" customHeight="1">
      <x:c r="A261" s="119" t="str">
        <x:v>P2</x:v>
      </x:c>
      <x:c r="B261" s="119" t="str">
        <x:v>RF-M15-03</x:v>
      </x:c>
      <x:c r="C261" s="119" t="str">
        <x:v>DIETAS PRONTAS</x:v>
      </x:c>
      <x:c r="D261" s="119" t="str">
        <x:v>Busca, filtros, duplicação controlada, ativação/inativação, versão e autoria.</x:v>
      </x:c>
      <x:c r="E261" s="119" t="str">
        <x:v>Não identificado</x:v>
      </x:c>
      <x:c r="F261" s="119" t="str">
        <x:v>Não foi identificada evidência suficiente para este requisito. Implementar biblioteca versionada de modelos de dieta, filtros, autoria, aplicação individualizada e manual institucional.</x:v>
      </x:c>
      <x:c r="G261" s="119" t="str">
        <x:v>src/nutri_app/ui/main_window.py; database/schema.sql</x:v>
      </x:c>
      <x:c r="H261" s="119" t="str">
        <x:v>Média</x:v>
      </x:c>
      <x:c r="I261" s="1"/>
      <x:c r="J261" s="1"/>
      <x:c r="K261" s="1"/>
    </x:row>
    <x:row r="262" ht="24" hidden="0" customHeight="1">
      <x:c r="A262" s="119" t="str">
        <x:v>P2</x:v>
      </x:c>
      <x:c r="B262" s="119" t="str">
        <x:v>RF-M15-04</x:v>
      </x:c>
      <x:c r="C262" s="119" t="str">
        <x:v>DIETAS PRONTAS</x:v>
      </x:c>
      <x:c r="D262" s="119" t="str">
        <x:v>Aplicação ao plano ou prescrição com cópia versionada e posterior individualização.</x:v>
      </x:c>
      <x:c r="E262" s="119" t="str">
        <x:v>Não identificado</x:v>
      </x:c>
      <x:c r="F262" s="119" t="str">
        <x:v>Não foi identificada evidência suficiente para este requisito. Implementar biblioteca versionada de modelos de dieta, filtros, autoria, aplicação individualizada e manual institucional.</x:v>
      </x:c>
      <x:c r="G262" s="119" t="str">
        <x:v>src/nutri_app/ui/main_window.py; database/schema.sql</x:v>
      </x:c>
      <x:c r="H262" s="119" t="str">
        <x:v>Média</x:v>
      </x:c>
      <x:c r="I262" s="1"/>
      <x:c r="J262" s="1"/>
      <x:c r="K262" s="1"/>
    </x:row>
    <x:row r="263" ht="24" hidden="0" customHeight="1">
      <x:c r="A263" s="119" t="str">
        <x:v>P2</x:v>
      </x:c>
      <x:c r="B263" s="119" t="str">
        <x:v>RF-M15-05</x:v>
      </x:c>
      <x:c r="C263" s="119" t="str">
        <x:v>DIETAS PRONTAS</x:v>
      </x:c>
      <x:c r="D263" s="119" t="str">
        <x:v>Associação ao manual de dietas da instituição e revisão periódica.</x:v>
      </x:c>
      <x:c r="E263" s="119" t="str">
        <x:v>Não identificado</x:v>
      </x:c>
      <x:c r="F263" s="119" t="str">
        <x:v>Não foi identificada evidência suficiente para este requisito. Implementar biblioteca versionada de modelos de dieta, filtros, autoria, aplicação individualizada e manual institucional.</x:v>
      </x:c>
      <x:c r="G263" s="119" t="str">
        <x:v>src/nutri_app/ui/main_window.py; database/schema.sql</x:v>
      </x:c>
      <x:c r="H263" s="119" t="str">
        <x:v>Média</x:v>
      </x:c>
      <x:c r="I263" s="1"/>
      <x:c r="J263" s="1"/>
      <x:c r="K263" s="1"/>
    </x:row>
    <x:row r="264" ht="36" hidden="0" customHeight="1">
      <x:c r="A264" s="119" t="str">
        <x:v>P2</x:v>
      </x:c>
      <x:c r="B264" s="119" t="str">
        <x:v>RF-M17-01</x:v>
      </x:c>
      <x:c r="C264" s="119" t="str">
        <x:v>RECEITAS</x:v>
      </x:c>
      <x:c r="D264" s="119" t="str">
        <x:v>Nome, categoria, descrição, ingredientes, modo de preparo, rendimento, porção, tempo, conservação e alergênicos.</x:v>
      </x:c>
      <x:c r="E264" s="119" t="str">
        <x:v>Parcial</x:v>
      </x:c>
      <x:c r="F264" s="119" t="str">
        <x:v>Faltam fatores de correção/cocção/custo, alergênicos derivados, versão/autoria, ficha técnica, etiquetas e publicação profissional.</x:v>
      </x:c>
      <x:c r="G264" s="119" t="str">
        <x:v>src/nutri_app/ui/pages/recipes_page.py; src/nutri_app/repositories/recipe_repository.py; src/nutri_app/services/recipe.py; tests/test_recipes.py</x:v>
      </x:c>
      <x:c r="H264" s="119" t="str">
        <x:v>Média</x:v>
      </x:c>
      <x:c r="I264" s="1"/>
      <x:c r="J264" s="1"/>
      <x:c r="K264" s="1"/>
    </x:row>
    <x:row r="265" ht="36" hidden="0" customHeight="1">
      <x:c r="A265" s="119" t="str">
        <x:v>P2</x:v>
      </x:c>
      <x:c r="B265" s="119" t="str">
        <x:v>RF-M17-02</x:v>
      </x:c>
      <x:c r="C265" s="119" t="str">
        <x:v>RECEITAS</x:v>
      </x:c>
      <x:c r="D265" s="119" t="str">
        <x:v>Peso bruto/líquido, fator de correção, fator de cocção, custo e perdas quando aplicável.</x:v>
      </x:c>
      <x:c r="E265" s="119" t="str">
        <x:v>Parcial</x:v>
      </x:c>
      <x:c r="F265" s="119" t="str">
        <x:v>Faltam fatores de correção/cocção/custo, alergênicos derivados, versão/autoria, ficha técnica, etiquetas e publicação profissional.</x:v>
      </x:c>
      <x:c r="G265" s="119" t="str">
        <x:v>src/nutri_app/ui/pages/recipes_page.py; src/nutri_app/repositories/recipe_repository.py; src/nutri_app/services/recipe.py; tests/test_recipes.py</x:v>
      </x:c>
      <x:c r="H265" s="119" t="str">
        <x:v>Média</x:v>
      </x:c>
      <x:c r="I265" s="1"/>
      <x:c r="J265" s="1"/>
      <x:c r="K265" s="1"/>
    </x:row>
    <x:row r="266" ht="36" hidden="0" customHeight="1">
      <x:c r="A266" s="119" t="str">
        <x:v>P2</x:v>
      </x:c>
      <x:c r="B266" s="119" t="str">
        <x:v>RF-M17-04</x:v>
      </x:c>
      <x:c r="C266" s="119" t="str">
        <x:v>RECEITAS</x:v>
      </x:c>
      <x:c r="D266" s="119" t="str">
        <x:v>Fotos opcionais, etiquetas, ficha técnica e impressão/publicação profissional.</x:v>
      </x:c>
      <x:c r="E266" s="119" t="str">
        <x:v>Parcial</x:v>
      </x:c>
      <x:c r="F266" s="119" t="str">
        <x:v>Faltam fatores de correção/cocção/custo, alergênicos derivados, versão/autoria, ficha técnica, etiquetas e publicação profissional.</x:v>
      </x:c>
      <x:c r="G266" s="119" t="str">
        <x:v>src/nutri_app/ui/pages/recipes_page.py; src/nutri_app/repositories/recipe_repository.py; src/nutri_app/services/recipe.py; tests/test_recipes.py</x:v>
      </x:c>
      <x:c r="H266" s="119" t="str">
        <x:v>Média</x:v>
      </x:c>
      <x:c r="I266" s="1"/>
      <x:c r="J266" s="1"/>
      <x:c r="K266" s="1"/>
    </x:row>
    <x:row r="267" ht="36" hidden="0" customHeight="1">
      <x:c r="A267" s="119" t="str">
        <x:v>P2</x:v>
      </x:c>
      <x:c r="B267" s="119" t="str">
        <x:v>RF-M17-05</x:v>
      </x:c>
      <x:c r="C267" s="119" t="str">
        <x:v>RECEITAS</x:v>
      </x:c>
      <x:c r="D267" s="119" t="str">
        <x:v>Pesquisa, filtros, duplicação, versionamento, autoria e status ativo/inativo.</x:v>
      </x:c>
      <x:c r="E267" s="119" t="str">
        <x:v>Parcial</x:v>
      </x:c>
      <x:c r="F267" s="119" t="str">
        <x:v>Faltam fatores de correção/cocção/custo, alergênicos derivados, versão/autoria, ficha técnica, etiquetas e publicação profissional.</x:v>
      </x:c>
      <x:c r="G267" s="119" t="str">
        <x:v>src/nutri_app/ui/pages/recipes_page.py; src/nutri_app/repositories/recipe_repository.py; src/nutri_app/services/recipe.py; tests/test_recipes.py</x:v>
      </x:c>
      <x:c r="H267" s="119" t="str">
        <x:v>Média</x:v>
      </x:c>
      <x:c r="I267" s="1"/>
      <x:c r="J267" s="1"/>
      <x:c r="K267" s="1"/>
    </x:row>
    <x:row r="268" ht="36" hidden="0" customHeight="1">
      <x:c r="A268" s="119" t="str">
        <x:v>P2</x:v>
      </x:c>
      <x:c r="B268" s="119" t="str">
        <x:v>RF-M17-06</x:v>
      </x:c>
      <x:c r="C268" s="119" t="str">
        <x:v>RECEITAS</x:v>
      </x:c>
      <x:c r="D268" s="119" t="str">
        <x:v>Uso no plano alimentar, dieta pronta, lista de compras e orientações.</x:v>
      </x:c>
      <x:c r="E268" s="119" t="str">
        <x:v>Parcial</x:v>
      </x:c>
      <x:c r="F268" s="119" t="str">
        <x:v>Faltam fatores de correção/cocção/custo, alergênicos derivados, versão/autoria, ficha técnica, etiquetas e publicação profissional.</x:v>
      </x:c>
      <x:c r="G268" s="119" t="str">
        <x:v>src/nutri_app/ui/pages/recipes_page.py; src/nutri_app/repositories/recipe_repository.py; src/nutri_app/services/recipe.py; tests/test_recipes.py</x:v>
      </x:c>
      <x:c r="H268" s="119" t="str">
        <x:v>Média</x:v>
      </x:c>
      <x:c r="I268" s="1"/>
      <x:c r="J268" s="1"/>
      <x:c r="K268" s="1"/>
    </x:row>
    <x:row r="269" ht="24" hidden="0" customHeight="1">
      <x:c r="A269" s="119" t="str">
        <x:v>P2</x:v>
      </x:c>
      <x:c r="B269" s="119" t="str">
        <x:v>RN-M15-01</x:v>
      </x:c>
      <x:c r="C269" s="119" t="str">
        <x:v>DIETAS PRONTAS</x:v>
      </x:c>
      <x:c r="D269" s="119" t="str">
        <x:v>Dieta pronta é modelo, não prescrição definitiva; deve ser confirmada para cada paciente.</x:v>
      </x:c>
      <x:c r="E269" s="119" t="str">
        <x:v>Não identificado</x:v>
      </x:c>
      <x:c r="F269" s="119" t="str">
        <x:v>Não foi identificada evidência suficiente para este requisito. Implementar biblioteca versionada de modelos de dieta, filtros, autoria, aplicação individualizada e manual institucional.</x:v>
      </x:c>
      <x:c r="G269" s="119" t="str">
        <x:v>src/nutri_app/ui/main_window.py; database/schema.sql</x:v>
      </x:c>
      <x:c r="H269" s="119" t="str">
        <x:v>Média</x:v>
      </x:c>
      <x:c r="I269" s="1"/>
      <x:c r="J269" s="1"/>
      <x:c r="K269" s="1"/>
    </x:row>
    <x:row r="270" ht="24" hidden="0" customHeight="1">
      <x:c r="A270" s="119" t="str">
        <x:v>P2</x:v>
      </x:c>
      <x:c r="B270" s="119" t="str">
        <x:v>RN-M15-02</x:v>
      </x:c>
      <x:c r="C270" s="119" t="str">
        <x:v>DIETAS PRONTAS</x:v>
      </x:c>
      <x:c r="D270" s="119" t="str">
        <x:v>Atualizar um modelo não altera prescrições históricas.</x:v>
      </x:c>
      <x:c r="E270" s="119" t="str">
        <x:v>Não identificado</x:v>
      </x:c>
      <x:c r="F270" s="119" t="str">
        <x:v>Não foi identificada evidência suficiente para este requisito. Implementar biblioteca versionada de modelos de dieta, filtros, autoria, aplicação individualizada e manual institucional.</x:v>
      </x:c>
      <x:c r="G270" s="119" t="str">
        <x:v>src/nutri_app/ui/main_window.py; database/schema.sql</x:v>
      </x:c>
      <x:c r="H270" s="119" t="str">
        <x:v>Média</x:v>
      </x:c>
      <x:c r="I270" s="1"/>
      <x:c r="J270" s="1"/>
      <x:c r="K270" s="1"/>
    </x:row>
    <x:row r="271" ht="36" hidden="0" customHeight="1">
      <x:c r="A271" s="119" t="str">
        <x:v>P2</x:v>
      </x:c>
      <x:c r="B271" s="119" t="str">
        <x:v>RN-M17-01</x:v>
      </x:c>
      <x:c r="C271" s="119" t="str">
        <x:v>RECEITAS</x:v>
      </x:c>
      <x:c r="D271" s="119" t="str">
        <x:v>Mudança de ingrediente ou rendimento cria nova versão quando a receita já tiver sido utilizada.</x:v>
      </x:c>
      <x:c r="E271" s="119" t="str">
        <x:v>Não identificado</x:v>
      </x:c>
      <x:c r="F271" s="119" t="str">
        <x:v>Não foi identificada evidência suficiente para este requisito. Faltam fatores de correção/cocção/custo, alergênicos derivados, versão/autoria, ficha técnica, etiquetas e publicação profissional.</x:v>
      </x:c>
      <x:c r="G271" s="119" t="str">
        <x:v>src/nutri_app/ui/pages/recipes_page.py; src/nutri_app/repositories/recipe_repository.py; src/nutri_app/services/recipe.py; tests/test_recipes.py</x:v>
      </x:c>
      <x:c r="H271" s="119" t="str">
        <x:v>Média</x:v>
      </x:c>
      <x:c r="I271" s="1"/>
      <x:c r="J271" s="1"/>
      <x:c r="K271" s="1"/>
    </x:row>
    <x:row r="272" ht="36" hidden="0" customHeight="1">
      <x:c r="A272" s="119" t="str">
        <x:v>P2</x:v>
      </x:c>
      <x:c r="B272" s="119" t="str">
        <x:v>RN-M17-02</x:v>
      </x:c>
      <x:c r="C272" s="119" t="str">
        <x:v>RECEITAS</x:v>
      </x:c>
      <x:c r="D272" s="119" t="str">
        <x:v>Alergênicos devem ser derivados dos ingredientes e confirmados pelo responsável.</x:v>
      </x:c>
      <x:c r="E272" s="119" t="str">
        <x:v>Não identificado</x:v>
      </x:c>
      <x:c r="F272" s="119" t="str">
        <x:v>Não foi identificada evidência suficiente para este requisito. Faltam fatores de correção/cocção/custo, alergênicos derivados, versão/autoria, ficha técnica, etiquetas e publicação profissional.</x:v>
      </x:c>
      <x:c r="G272" s="119" t="str">
        <x:v>src/nutri_app/ui/pages/recipes_page.py; src/nutri_app/repositories/recipe_repository.py; src/nutri_app/services/recipe.py; tests/test_recipes.py</x:v>
      </x:c>
      <x:c r="H272" s="119" t="str">
        <x:v>Média</x:v>
      </x:c>
      <x:c r="I272" s="1"/>
      <x:c r="J272" s="1"/>
      <x:c r="K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</x:row>
  </x:sheetData>
  <x:mergeCells>
    <x:mergeCell ref="A1:H2"/>
    <x:mergeCell ref="A3:H3"/>
  </x:mergeCells>
  <x:conditionalFormatting sqref="A5:A272">
    <x:cfRule type="containsText" dxfId="15" priority="1" operator="containsText" text="P0"/>
    <x:cfRule type="containsText" dxfId="16" priority="2" operator="containsText" text="P1"/>
    <x:cfRule type="containsText" dxfId="17" priority="3" operator="containsText" text="P2"/>
  </x:conditionalFormatting>
  <x:conditionalFormatting sqref="E5:E272">
    <x:cfRule type="containsText" dxfId="18" priority="4" operator="containsText" text="Implementado"/>
    <x:cfRule type="containsText" dxfId="19" priority="5" operator="containsText" text="Parcial"/>
    <x:cfRule type="containsText" dxfId="20" priority="6" operator="containsText" text="Não identificado"/>
  </x:conditionalFormatting>
  <x:pageMargins left="0.7" right="0.7" top="0.75" bottom="0.75" header="0.3" footer="0.3"/>
  <x:tableParts count="1">
    <x:tablePart xmlns:r="http://schemas.openxmlformats.org/officeDocument/2006/relationships" r:id="R0aab85d222ab46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55" hidden="0" customWidth="1"/>
    <x:col min="4" max="4" width="38" hidden="0" customWidth="1"/>
    <x:col min="5" max="5" width="15" hidden="0" customWidth="1"/>
    <x:col min="6" max="6" width="52" hidden="0" customWidth="1"/>
  </x:cols>
  <x:sheetData>
    <x:row r="1" ht="34" customHeight="1">
      <x:c r="A1" s="5" t="str">
        <x:v>Evidências da análise</x:v>
      </x:c>
      <x:c r="B1" s="5"/>
      <x:c r="C1" s="5"/>
      <x:c r="D1" s="5"/>
      <x:c r="E1" s="5"/>
      <x:c r="F1" s="5"/>
      <x:c r="G1" s="1"/>
      <x:c r="H1" s="1"/>
      <x:c r="I1" s="1"/>
      <x:c r="J1" s="1"/>
      <x:c r="K1" s="1"/>
    </x:row>
    <x:row r="2" ht="34" customHeight="1">
      <x:c r="A2" s="5"/>
      <x:c r="B2" s="5"/>
      <x:c r="C2" s="5"/>
      <x:c r="D2" s="5"/>
      <x:c r="E2" s="5"/>
      <x:c r="F2" s="5"/>
      <x:c r="G2" s="1"/>
      <x:c r="H2" s="1"/>
      <x:c r="I2" s="1"/>
      <x:c r="J2" s="1"/>
      <x:c r="K2" s="1"/>
    </x:row>
    <x:row r="3" ht="30" customHeight="1">
      <x:c r="A3" s="9" t="str">
        <x:v>Comandos e artefatos usados para sustentar as classificações.</x:v>
      </x:c>
      <x:c r="B3" s="9"/>
      <x:c r="C3" s="9"/>
      <x:c r="D3" s="9"/>
      <x:c r="E3" s="9"/>
      <x:c r="F3" s="9"/>
      <x:c r="G3" s="1"/>
      <x:c r="H3" s="1"/>
      <x:c r="I3" s="1"/>
      <x:c r="J3" s="1"/>
      <x:c r="K3" s="1"/>
    </x:row>
    <x:row r="4" ht="15" hidden="0" customHeight="1">
      <x:c r="A4" s="16" t="str">
        <x:v>Área</x:v>
      </x:c>
      <x:c r="B4" s="41" t="str">
        <x:v>Tipo</x:v>
      </x:c>
      <x:c r="C4" s="41" t="str">
        <x:v>Fonte/evidência</x:v>
      </x:c>
      <x:c r="D4" s="41" t="str">
        <x:v>Resultado</x:v>
      </x:c>
      <x:c r="E4" s="41" t="str">
        <x:v>Situação</x:v>
      </x:c>
      <x:c r="F4" s="17" t="str">
        <x:v>Limitação</x:v>
      </x:c>
      <x:c r="G4" s="1"/>
      <x:c r="H4" s="1"/>
      <x:c r="I4" s="1"/>
      <x:c r="J4" s="1"/>
      <x:c r="K4" s="1"/>
    </x:row>
    <x:row r="5" ht="24" hidden="0" customHeight="1">
      <x:c r="A5" s="119" t="str">
        <x:v>Documento</x:v>
      </x:c>
      <x:c r="B5" s="119" t="str">
        <x:v>Fonte dos requisitos</x:v>
      </x:c>
      <x:c r="C5" s="119" t="str">
        <x:v>C:\Users\Flavio Zaccheroni\Downloads\ESPECIFICACAO_DE_REQUISITOS_CONSOLIDADA.docx</x:v>
      </x:c>
      <x:c r="D5" s="119" t="str">
        <x:v>D7337859C944B9C9A1B6D9E39665C3075532E3C2B95FF79B1CB0A495ED195587</x:v>
      </x:c>
      <x:c r="E5" s="119" t="str">
        <x:v>318 itens auditáveis extraídos</x:v>
      </x:c>
      <x:c r="F5" s="119" t="str">
        <x:v>Arquivo idêntico ao consolidado produzido anteriormente</x:v>
      </x:c>
      <x:c r="G5" s="1"/>
      <x:c r="H5" s="1"/>
      <x:c r="I5" s="1"/>
      <x:c r="J5" s="1"/>
      <x:c r="K5" s="1"/>
    </x:row>
    <x:row r="6" ht="15" hidden="0" customHeight="1">
      <x:c r="A6" s="119" t="str">
        <x:v>Testes</x:v>
      </x:c>
      <x:c r="B6" s="119" t="str">
        <x:v>Execução automatizada</x:v>
      </x:c>
      <x:c r="C6" s="119" t="str">
        <x:v>pytest -q</x:v>
      </x:c>
      <x:c r="D6" s="119" t="str">
        <x:v>83 aprovados em 10,27 s</x:v>
      </x:c>
      <x:c r="E6" s="119" t="str">
        <x:v>Aprovado</x:v>
      </x:c>
      <x:c r="F6" s="119" t="str">
        <x:v>31 arquivos de teste</x:v>
      </x:c>
      <x:c r="G6" s="1"/>
      <x:c r="H6" s="1"/>
      <x:c r="I6" s="1"/>
      <x:c r="J6" s="1"/>
      <x:c r="K6" s="1"/>
    </x:row>
    <x:row r="7" ht="15" hidden="0" customHeight="1">
      <x:c r="A7" s="119" t="str">
        <x:v>Cobertura</x:v>
      </x:c>
      <x:c r="B7" s="119" t="str">
        <x:v>Medição automatizada</x:v>
      </x:c>
      <x:c r="C7" s="119" t="str">
        <x:v>pytest --cov=nutri_app</x:v>
      </x:c>
      <x:c r="D7" s="119" t="str">
        <x:v>64% de cobertura total</x:v>
      </x:c>
      <x:c r="E7" s="119" t="str">
        <x:v>Informativa</x:v>
      </x:c>
      <x:c r="F7" s="119" t="str">
        <x:v>Cobertura não substitui testes clínicos/homologação</x:v>
      </x:c>
      <x:c r="G7" s="1"/>
      <x:c r="H7" s="1"/>
      <x:c r="I7" s="1"/>
      <x:c r="J7" s="1"/>
      <x:c r="K7" s="1"/>
    </x:row>
    <x:row r="8" ht="15" hidden="0" customHeight="1">
      <x:c r="A8" s="119" t="str">
        <x:v>Qualidade</x:v>
      </x:c>
      <x:c r="B8" s="119" t="str">
        <x:v>Análise estática</x:v>
      </x:c>
      <x:c r="C8" s="119" t="str">
        <x:v>ruff check src tests</x:v>
      </x:c>
      <x:c r="D8" s="119" t="str">
        <x:v>Ruff sem ocorrências</x:v>
      </x:c>
      <x:c r="E8" s="119" t="str">
        <x:v>Aprovado</x:v>
      </x:c>
      <x:c r="F8" s="119" t="str">
        <x:v>Sem ocorrências no momento da análise</x:v>
      </x:c>
      <x:c r="G8" s="1"/>
      <x:c r="H8" s="1"/>
      <x:c r="I8" s="1"/>
      <x:c r="J8" s="1"/>
      <x:c r="K8" s="1"/>
    </x:row>
    <x:row r="9" ht="15" hidden="0" customHeight="1">
      <x:c r="A9" s="119" t="str">
        <x:v>Arquitetura</x:v>
      </x:c>
      <x:c r="B9" s="119" t="str">
        <x:v>Código</x:v>
      </x:c>
      <x:c r="C9" s="119" t="str">
        <x:v>src/nutri_app</x:v>
      </x:c>
      <x:c r="D9" s="119" t="str">
        <x:v>125 arquivos Python</x:v>
      </x:c>
      <x:c r="E9" s="119" t="str">
        <x:v>Verificado</x:v>
      </x:c>
      <x:c r="F9" s="119" t="str">
        <x:v>Camadas de app, domínio, serviços, repositórios e UI</x:v>
      </x:c>
      <x:c r="G9" s="1"/>
      <x:c r="H9" s="1"/>
      <x:c r="I9" s="1"/>
      <x:c r="J9" s="1"/>
      <x:c r="K9" s="1"/>
    </x:row>
    <x:row r="10" ht="15" hidden="0" customHeight="1">
      <x:c r="A10" s="119" t="str">
        <x:v>Banco</x:v>
      </x:c>
      <x:c r="B10" s="119" t="str">
        <x:v>Schema e migrações</x:v>
      </x:c>
      <x:c r="C10" s="119" t="str">
        <x:v>database/schema.sql; database/migrations</x:v>
      </x:c>
      <x:c r="D10" s="119" t="str">
        <x:v>21 migrações; 34 tabelas</x:v>
      </x:c>
      <x:c r="E10" s="119" t="str">
        <x:v>Verificado</x:v>
      </x:c>
      <x:c r="F10" s="119" t="str">
        <x:v>SQLite local com exclusão lógica e auditoria</x:v>
      </x:c>
      <x:c r="G10" s="1"/>
      <x:c r="H10" s="1"/>
      <x:c r="I10" s="1"/>
      <x:c r="J10" s="1"/>
      <x:c r="K10" s="1"/>
    </x:row>
    <x:row r="11" ht="15" hidden="0" customHeight="1">
      <x:c r="A11" s="119" t="str">
        <x:v>Interface</x:v>
      </x:c>
      <x:c r="B11" s="119" t="str">
        <x:v>Páginas desktop</x:v>
      </x:c>
      <x:c r="C11" s="119" t="str">
        <x:v>src/nutri_app/ui/pages</x:v>
      </x:c>
      <x:c r="D11" s="119" t="str">
        <x:v>26 páginas de UI</x:v>
      </x:c>
      <x:c r="E11" s="119" t="str">
        <x:v>Verificado</x:v>
      </x:c>
      <x:c r="F11" s="119" t="str">
        <x:v>PySide6; inclui gráficos QtCharts</x:v>
      </x:c>
      <x:c r="G11" s="1"/>
      <x:c r="H11" s="1"/>
      <x:c r="I11" s="1"/>
      <x:c r="J11" s="1"/>
      <x:c r="K11" s="1"/>
    </x:row>
    <x:row r="12" ht="24" hidden="0" customHeight="1">
      <x:c r="A12" s="119" t="str">
        <x:v>Segurança/LGPD</x:v>
      </x:c>
      <x:c r="B12" s="119" t="str">
        <x:v>Serviços e migração</x:v>
      </x:c>
      <x:c r="C12" s="119" t="str">
        <x:v>services/auth.py; security.py; privacy.py; migration 0021</x:v>
      </x:c>
      <x:c r="D12" s="119" t="str">
        <x:v>Senha forte, bloqueio, consentimento, exportação e anonimização</x:v>
      </x:c>
      <x:c r="E12" s="119" t="str">
        <x:v>Parcial</x:v>
      </x:c>
      <x:c r="F12" s="119" t="str">
        <x:v>Faltam sessão avançada, 2FA e homologação jurídica</x:v>
      </x:c>
      <x:c r="G12" s="1"/>
      <x:c r="H12" s="1"/>
      <x:c r="I12" s="1"/>
      <x:c r="J12" s="1"/>
      <x:c r="K12" s="1"/>
    </x:row>
    <x:row r="13" ht="24" hidden="0" customHeight="1">
      <x:c r="A13" s="119" t="str">
        <x:v>Operação</x:v>
      </x:c>
      <x:c r="B13" s="119" t="str">
        <x:v>Backup e release</x:v>
      </x:c>
      <x:c r="C13" s="119" t="str">
        <x:v>services/backup.py; automatic_backup.py; release.py</x:v>
      </x:c>
      <x:c r="D13" s="119" t="str">
        <x:v>Backup criptografado/restauração e bloqueio de release</x:v>
      </x:c>
      <x:c r="E13" s="119" t="str">
        <x:v>Parcial</x:v>
      </x:c>
      <x:c r="F13" s="119" t="str">
        <x:v>Requer teste em ambiente real e cópia externa</x:v>
      </x:c>
      <x:c r="G13" s="1"/>
      <x:c r="H13" s="1"/>
      <x:c r="I13" s="1"/>
      <x:c r="J13" s="1"/>
      <x:c r="K13" s="1"/>
    </x:row>
    <x:row r="14" ht="15" hidden="0" customHeight="1">
      <x:c r="A14" s="119" t="str">
        <x:v>Canais</x:v>
      </x:c>
      <x:c r="B14" s="119" t="str">
        <x:v>Portal do paciente</x:v>
      </x:c>
      <x:c r="C14" s="119" t="str">
        <x:v>services/patient_portal_server.py; patient_portal.html</x:v>
      </x:c>
      <x:c r="D14" s="119" t="str">
        <x:v>Login por código, token, publicações e adesão</x:v>
      </x:c>
      <x:c r="E14" s="119" t="str">
        <x:v>Parcial</x:v>
      </x:c>
      <x:c r="F14" s="119" t="str">
        <x:v>Servidor local; não homologado para internet</x:v>
      </x:c>
      <x:c r="G14" s="1"/>
      <x:c r="H14" s="1"/>
      <x:c r="I14" s="1"/>
      <x:c r="J14" s="1"/>
      <x:c r="K14" s="1"/>
    </x:row>
    <x:row r="15" ht="15" hidden="0" customHeight="1">
      <x:c r="A15" s="119" t="str">
        <x:v>Integrações</x:v>
      </x:c>
      <x:c r="B15" s="119" t="str">
        <x:v>HTTP e arquivo</x:v>
      </x:c>
      <x:c r="C15" s="119" t="str">
        <x:v>services/integration.py</x:v>
      </x:c>
      <x:c r="D15" s="119" t="str">
        <x:v>Timeout, idempotência, JSON e file://</x:v>
      </x:c>
      <x:c r="E15" s="119" t="str">
        <x:v>Parcial</x:v>
      </x:c>
      <x:c r="F15" s="119" t="str">
        <x:v>Sem conectores externos homologados</x:v>
      </x:c>
      <x:c r="G15" s="1"/>
      <x:c r="H15" s="1"/>
      <x:c r="I15" s="1"/>
      <x:c r="J15" s="1"/>
      <x:c r="K15" s="1"/>
    </x:row>
    <x:row r="16" ht="15" hidden="0" customHeight="1">
      <x:c r="A16" s="119" t="str">
        <x:v>Build</x:v>
      </x:c>
      <x:c r="B16" s="119" t="str">
        <x:v>CI e instalador</x:v>
      </x:c>
      <x:c r="C16" s="119" t="str">
        <x:v>.github/workflows/quality.yml; installer/NutriClinicPro.iss</x:v>
      </x:c>
      <x:c r="D16" s="119" t="str">
        <x:v>CI Windows e script Inno Setup</x:v>
      </x:c>
      <x:c r="E16" s="119" t="str">
        <x:v>Parcial</x:v>
      </x:c>
      <x:c r="F16" s="119" t="str">
        <x:v>Instalador ainda requer validação em máquina limpa</x:v>
      </x:c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</x:row>
  </x:sheetData>
  <x:mergeCells>
    <x:mergeCell ref="A1:F2"/>
    <x:mergeCell ref="A3:F3"/>
  </x:mergeCells>
  <x:conditionalFormatting sqref="E5:E16">
    <x:cfRule type="containsText" dxfId="21" priority="1" operator="containsText" text="Implementado"/>
    <x:cfRule type="containsText" dxfId="22" priority="2" operator="containsText" text="Parcial"/>
    <x:cfRule type="containsText" dxfId="23" priority="3" operator="containsText" text="Não identificado"/>
  </x:conditionalFormatting>
  <x:pageMargins left="0.7" right="0.7" top="0.75" bottom="0.75" header="0.3" footer="0.3"/>
  <x:tableParts count="1">
    <x:tablePart xmlns:r="http://schemas.openxmlformats.org/officeDocument/2006/relationships" r:id="R41b1d82d690940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34" customHeight="1">
      <x:c r="A1" s="5" t="str">
        <x:v>Metodologia e legenda</x:v>
      </x:c>
      <x:c r="B1" s="5"/>
      <x:c r="C1" s="5"/>
      <x:c r="D1" s="5"/>
      <x:c r="E1" s="5"/>
      <x:c r="F1" s="5"/>
      <x:c r="G1" s="1"/>
      <x:c r="H1" s="1"/>
      <x:c r="I1" s="1"/>
      <x:c r="J1" s="1"/>
      <x:c r="K1" s="1"/>
    </x:row>
    <x:row r="2" ht="34" customHeight="1">
      <x:c r="A2" s="5"/>
      <x:c r="B2" s="5"/>
      <x:c r="C2" s="5"/>
      <x:c r="D2" s="5"/>
      <x:c r="E2" s="5"/>
      <x:c r="F2" s="5"/>
      <x:c r="G2" s="1"/>
      <x:c r="H2" s="1"/>
      <x:c r="I2" s="1"/>
      <x:c r="J2" s="1"/>
      <x:c r="K2" s="1"/>
    </x:row>
    <x:row r="3" ht="30" customHeight="1">
      <x:c r="A3" s="9" t="str">
        <x:v>Critérios usados para evitar confundir presença de código com aderência integral ou homologação.</x:v>
      </x:c>
      <x:c r="B3" s="9"/>
      <x:c r="C3" s="9"/>
      <x:c r="D3" s="9"/>
      <x:c r="E3" s="9"/>
      <x:c r="F3" s="9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16" t="str">
        <x:v>Campo</x:v>
      </x:c>
      <x:c r="B5" s="17" t="str">
        <x:v>Definição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24" hidden="0" customHeight="1">
      <x:c r="A6" s="130" t="str">
        <x:v>Escopo</x:v>
      </x:c>
      <x:c r="B6" s="122" t="str">
        <x:v>Inspeção estática do código, banco, migrações, UI e documentação, complementada por execução de testes, cobertura e lint. Nenhuma funcionalidade foi implementada ou modificada.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24" hidden="0" customHeight="1">
      <x:c r="A7" s="131" t="str">
        <x:v>Implementado</x:v>
      </x:c>
      <x:c r="B7" s="124" t="str">
        <x:v>Há evidência direta no código e/ou teste de que o requisito está coberto no escopo atual. Ainda pode exigir homologação clínica, jurídica ou operacional.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15" hidden="0" customHeight="1">
      <x:c r="A8" s="131" t="str">
        <x:v>Parcial</x:v>
      </x:c>
      <x:c r="B8" s="124" t="str">
        <x:v>Existe base funcional relacionada, mas faltam elementos materiais do requisito, integração, governança, segurança ou validação.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15" hidden="0" customHeight="1">
      <x:c r="A9" s="131" t="str">
        <x:v>Não identificado</x:v>
      </x:c>
      <x:c r="B9" s="124" t="str">
        <x:v>Não foi encontrada evidência suficiente no repositório analisado. Não significa prova absoluta de inexistência fora deste workspace.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15" hidden="0" customHeight="1">
      <x:c r="A10" s="131" t="str">
        <x:v>P0</x:v>
      </x:c>
      <x:c r="B10" s="124" t="str">
        <x:v>Bloqueador clínico, de segurança, privacidade ou produção.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31" t="str">
        <x:v>P1</x:v>
      </x:c>
      <x:c r="B11" s="124" t="str">
        <x:v>Próximo ciclo de produto/roadmap; necessário para completar fluxos importantes.</x:v>
      </x:c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31" t="str">
        <x:v>P2</x:v>
      </x:c>
      <x:c r="B12" s="124" t="str">
        <x:v>Expansão ou melhoria profissional que não bloqueia o núcleo atual.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31" t="str">
        <x:v>Aderência ponderada</x:v>
      </x:c>
      <x:c r="B13" s="124" t="str">
        <x:v>Implementado = 100%; Parcial = 50%; Não identificado = 0%. É um indicador de cobertura documental, não de prontidão comercial.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31" t="str">
        <x:v>Confiança</x:v>
      </x:c>
      <x:c r="B14" s="124" t="str">
        <x:v>Alta quando há teste/evidência direta; Média quando a conclusão depende de inspeção de componentes correlatos.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31" t="str">
        <x:v>Estado do repositório</x:v>
      </x:c>
      <x:c r="B15" s="124" t="str">
        <x:v>a877e45 (workspace com alterações não commitadas incluídas)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4" hidden="0" customHeight="1">
      <x:c r="A16" s="132" t="str">
        <x:v>Limite</x:v>
      </x:c>
      <x:c r="B16" s="126" t="str">
        <x:v>Não foram feitos testes com usuários, homologação clínica, jurídica, de segurança externa, desempenho, recuperação de desastre ou instalação em máquina limpa.</x:v>
      </x:c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</x:row>
  </x:sheetData>
  <x:mergeCells>
    <x:mergeCell ref="A1:F2"/>
    <x:mergeCell ref="A3:F3"/>
  </x:mergeCells>
  <x:pageMargins left="0.7" right="0.7" top="0.75" bottom="0.75" header="0.3" footer="0.3"/>
</x:worksheet>
</file>